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CRM\"/>
    </mc:Choice>
  </mc:AlternateContent>
  <xr:revisionPtr revIDLastSave="0" documentId="13_ncr:1_{9C24D525-6113-4F76-AAD9-7290D088405F}" xr6:coauthVersionLast="45" xr6:coauthVersionMax="45" xr10:uidLastSave="{00000000-0000-0000-0000-000000000000}"/>
  <bookViews>
    <workbookView xWindow="-120" yWindow="-120" windowWidth="20730" windowHeight="10830" tabRatio="500" xr2:uid="{00000000-000D-0000-FFFF-FFFF00000000}"/>
  </bookViews>
  <sheets>
    <sheet name="Sheet1" sheetId="1" r:id="rId1"/>
  </sheets>
  <definedNames>
    <definedName name="_xlnm._FilterDatabase" localSheetId="0" hidden="1">Sheet1!$B$2:$M$79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9" i="1" l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<sst xmlns="http://schemas.openxmlformats.org/spreadsheetml/2006/main" count="505" uniqueCount="176">
  <si>
    <t>DM List</t>
  </si>
  <si>
    <t>AM List</t>
  </si>
  <si>
    <t>OM List</t>
  </si>
  <si>
    <t>BUM List</t>
  </si>
  <si>
    <t>SD List</t>
  </si>
  <si>
    <t>No</t>
  </si>
  <si>
    <t xml:space="preserve">Employee Name </t>
  </si>
  <si>
    <t xml:space="preserve">Title </t>
  </si>
  <si>
    <t>Territory</t>
  </si>
  <si>
    <t>DM</t>
  </si>
  <si>
    <t>AM</t>
  </si>
  <si>
    <t>OM</t>
  </si>
  <si>
    <t>BUM</t>
  </si>
  <si>
    <t>Sequence (for CRM)</t>
  </si>
  <si>
    <t>Status</t>
  </si>
  <si>
    <t>Kirollos Rizk</t>
  </si>
  <si>
    <t>Michael Raafat</t>
  </si>
  <si>
    <t>Peter Abdel Nour</t>
  </si>
  <si>
    <t>Fady Nassif</t>
  </si>
  <si>
    <t>Maged Raouf</t>
  </si>
  <si>
    <t xml:space="preserve">Awad Tmsah </t>
  </si>
  <si>
    <t>MR1</t>
  </si>
  <si>
    <t>Nasr city</t>
  </si>
  <si>
    <t>Azza Karim</t>
  </si>
  <si>
    <t>Esraa el shimy</t>
  </si>
  <si>
    <t>Michael Antonyo</t>
  </si>
  <si>
    <t>Mina Michel</t>
  </si>
  <si>
    <t>Osama Bert</t>
  </si>
  <si>
    <t>None</t>
  </si>
  <si>
    <t xml:space="preserve">Azza Karim  </t>
  </si>
  <si>
    <t>DM1</t>
  </si>
  <si>
    <t>Rafik Maged</t>
  </si>
  <si>
    <t>Wael Atef</t>
  </si>
  <si>
    <t>Noha samir</t>
  </si>
  <si>
    <t xml:space="preserve">Vacant Haram faisyal </t>
  </si>
  <si>
    <t>Vacant Haram faisyal</t>
  </si>
  <si>
    <t>Peter Basily</t>
  </si>
  <si>
    <t xml:space="preserve">Kirollos Rizk </t>
  </si>
  <si>
    <t xml:space="preserve"> Haram/Faisal</t>
  </si>
  <si>
    <t>Ashraf Shawky</t>
  </si>
  <si>
    <t>Christena Roshdy</t>
  </si>
  <si>
    <t>October</t>
  </si>
  <si>
    <t>Bassem Hanna</t>
  </si>
  <si>
    <t>Peter Emad</t>
  </si>
  <si>
    <t>Shobra /Shobra el Khema</t>
  </si>
  <si>
    <t>Marwa shaaban</t>
  </si>
  <si>
    <t xml:space="preserve">Esraa el shimy </t>
  </si>
  <si>
    <t>Down Town, Maadi/Helwan</t>
  </si>
  <si>
    <t>Ramy Yousef</t>
  </si>
  <si>
    <t xml:space="preserve">Vacant Maadi/Helwan </t>
  </si>
  <si>
    <t>Vacant Maadi/Helwan</t>
  </si>
  <si>
    <t xml:space="preserve">Fady Nassif </t>
  </si>
  <si>
    <t>MR2</t>
  </si>
  <si>
    <t xml:space="preserve">Osama Bert </t>
  </si>
  <si>
    <t>Naguib Mahfouz</t>
  </si>
  <si>
    <t>Vacant Cairo East</t>
  </si>
  <si>
    <t>Marian Adel</t>
  </si>
  <si>
    <t xml:space="preserve">shady Gamal </t>
  </si>
  <si>
    <t>Fayoum/Benisuef</t>
  </si>
  <si>
    <t>Milad Mikhaeel</t>
  </si>
  <si>
    <t xml:space="preserve">Vacant Behira </t>
  </si>
  <si>
    <t>Vacant Behira</t>
  </si>
  <si>
    <t>Maher Khamis</t>
  </si>
  <si>
    <t xml:space="preserve">Kirollos Girgis </t>
  </si>
  <si>
    <t>Minya</t>
  </si>
  <si>
    <t>Beshoy Samy</t>
  </si>
  <si>
    <t xml:space="preserve">Yasser Yosry </t>
  </si>
  <si>
    <t>Alex 1</t>
  </si>
  <si>
    <t>Vacant Alex 2</t>
  </si>
  <si>
    <t xml:space="preserve"> Vacant Alex 2</t>
  </si>
  <si>
    <t>MR3</t>
  </si>
  <si>
    <t xml:space="preserve">Noha samir </t>
  </si>
  <si>
    <t xml:space="preserve">Ayman Younes </t>
  </si>
  <si>
    <t>Mansoura</t>
  </si>
  <si>
    <t xml:space="preserve">Sameh </t>
  </si>
  <si>
    <t>sharkya</t>
  </si>
  <si>
    <t xml:space="preserve">Philip Nayer </t>
  </si>
  <si>
    <t>Masr El gedida</t>
  </si>
  <si>
    <t xml:space="preserve">Fawzy Nasser </t>
  </si>
  <si>
    <t>Cairo East</t>
  </si>
  <si>
    <t>Esraa shehata</t>
  </si>
  <si>
    <t>Down Town</t>
  </si>
  <si>
    <t xml:space="preserve">Engy Hosny </t>
  </si>
  <si>
    <t xml:space="preserve">Sara Adel </t>
  </si>
  <si>
    <t>Doki/Mohandseen</t>
  </si>
  <si>
    <t xml:space="preserve">Mostafa Ahmed </t>
  </si>
  <si>
    <t>Mohamed Baiomy</t>
  </si>
  <si>
    <t>Haram/Faisal</t>
  </si>
  <si>
    <t xml:space="preserve">Vacant Nasr city </t>
  </si>
  <si>
    <t>Vacant Nasr city</t>
  </si>
  <si>
    <t xml:space="preserve">Amanda Medhat </t>
  </si>
  <si>
    <t xml:space="preserve">Helana Alex 1 </t>
  </si>
  <si>
    <t xml:space="preserve">Marina Sameh </t>
  </si>
  <si>
    <t>Tanta</t>
  </si>
  <si>
    <t xml:space="preserve">Ahmed Hassan </t>
  </si>
  <si>
    <t>Menofya/Qalubia</t>
  </si>
  <si>
    <t>Ahmed el Mesalamy</t>
  </si>
  <si>
    <t>Sharkya /Portsaid</t>
  </si>
  <si>
    <t>Osama Bert, Noha samir</t>
  </si>
  <si>
    <t>Emad Latif</t>
  </si>
  <si>
    <t xml:space="preserve">Katrin Hosny </t>
  </si>
  <si>
    <t xml:space="preserve">Martina Micheel </t>
  </si>
  <si>
    <t xml:space="preserve">Silvia Medhat </t>
  </si>
  <si>
    <t>Maadi/Helwan</t>
  </si>
  <si>
    <t xml:space="preserve">Yara </t>
  </si>
  <si>
    <t>Imbaba</t>
  </si>
  <si>
    <t xml:space="preserve">Ahmed el Behiry </t>
  </si>
  <si>
    <t xml:space="preserve">Mohamed Ezzat </t>
  </si>
  <si>
    <t xml:space="preserve">Mina Nabil </t>
  </si>
  <si>
    <t xml:space="preserve">Peter william </t>
  </si>
  <si>
    <t>John Amin</t>
  </si>
  <si>
    <t>MR 1</t>
  </si>
  <si>
    <t>Assuit</t>
  </si>
  <si>
    <t xml:space="preserve">Vacant Minya </t>
  </si>
  <si>
    <t xml:space="preserve">MR2 </t>
  </si>
  <si>
    <t xml:space="preserve">Randa Magdy </t>
  </si>
  <si>
    <t xml:space="preserve">MR </t>
  </si>
  <si>
    <t>Qena /Red Sea</t>
  </si>
  <si>
    <t>Fady Nassif, Osama Bert, Noha samir</t>
  </si>
  <si>
    <t xml:space="preserve">Kirollos Adel </t>
  </si>
  <si>
    <t>MR</t>
  </si>
  <si>
    <t>Sohag</t>
  </si>
  <si>
    <t>BUM1</t>
  </si>
  <si>
    <t>National</t>
  </si>
  <si>
    <t>BUM2</t>
  </si>
  <si>
    <t>BUM3</t>
  </si>
  <si>
    <t xml:space="preserve">Michael Raafat </t>
  </si>
  <si>
    <t>AM1</t>
  </si>
  <si>
    <t>Masr El gedida / Nasr City</t>
  </si>
  <si>
    <t xml:space="preserve">Michael Antonyo </t>
  </si>
  <si>
    <t>Giza / Behira / Kafr el sheikh / Delta 1</t>
  </si>
  <si>
    <t>Sharkia /Mansoura, Mansoura /Sharkia</t>
  </si>
  <si>
    <t xml:space="preserve">Peter Abdel Nour </t>
  </si>
  <si>
    <t>Gharbia / Menofya, Tanta / Menofya</t>
  </si>
  <si>
    <t xml:space="preserve">Mina Michel </t>
  </si>
  <si>
    <t>Alex</t>
  </si>
  <si>
    <t xml:space="preserve">DM </t>
  </si>
  <si>
    <t>Sohag , Qena , Red Sea, Sohag, Qena ,  Red Sea</t>
  </si>
  <si>
    <t xml:space="preserve">Wael Atef </t>
  </si>
  <si>
    <t xml:space="preserve">OM </t>
  </si>
  <si>
    <t>Mina , Assuit, Minya / Assuit</t>
  </si>
  <si>
    <t xml:space="preserve">Bassem Hanna </t>
  </si>
  <si>
    <t>DM 2</t>
  </si>
  <si>
    <t>Giza</t>
  </si>
  <si>
    <t xml:space="preserve">Marwa shaaban </t>
  </si>
  <si>
    <t>DM2</t>
  </si>
  <si>
    <t>Down Town / Maadi</t>
  </si>
  <si>
    <t xml:space="preserve">Ramy Yousef </t>
  </si>
  <si>
    <t>DM3</t>
  </si>
  <si>
    <t>Masr El Gedida / Nasr City / Shobra</t>
  </si>
  <si>
    <t xml:space="preserve">Naguib Mahfouz </t>
  </si>
  <si>
    <t xml:space="preserve">Marian Adel </t>
  </si>
  <si>
    <t>Menofya /Qalubia</t>
  </si>
  <si>
    <t xml:space="preserve">Milad Mikhaeel </t>
  </si>
  <si>
    <t>Behira/Kafr el shiekh</t>
  </si>
  <si>
    <t xml:space="preserve">Beshoy Samy </t>
  </si>
  <si>
    <t xml:space="preserve">Neven </t>
  </si>
  <si>
    <t xml:space="preserve">Masr El gedida </t>
  </si>
  <si>
    <t xml:space="preserve">Kiollos Rizk </t>
  </si>
  <si>
    <t xml:space="preserve">Doki/Mohandseen </t>
  </si>
  <si>
    <t xml:space="preserve">Esraa El shimy </t>
  </si>
  <si>
    <t>Noha Samir</t>
  </si>
  <si>
    <t xml:space="preserve">Fady Kamal </t>
  </si>
  <si>
    <t>Ahmed El Kot</t>
  </si>
  <si>
    <t>Vacant Menofya 3</t>
  </si>
  <si>
    <t xml:space="preserve">Fady Nassif, Osama Bert, Noha samir </t>
  </si>
  <si>
    <t>Eman Alex 1</t>
  </si>
  <si>
    <t>Vacant october</t>
  </si>
  <si>
    <t>Eman -Alex</t>
  </si>
  <si>
    <t xml:space="preserve"> Nasr city</t>
  </si>
  <si>
    <t>MM</t>
  </si>
  <si>
    <t>Magdy Nassif</t>
  </si>
  <si>
    <t xml:space="preserve">Mario Nader </t>
  </si>
  <si>
    <t>Wael Morad</t>
  </si>
  <si>
    <t>Amr El Hoseny</t>
  </si>
  <si>
    <t>S and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</si>
</sst>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sz val="11"/>
      <name val="Arial"/>
      <charset val="1"/>
    </font>
    <font>
      <b/>
      <sz val="14"/>
      <color theme="1"/>
      <name val="Calibri"/>
      <charset val="1"/>
    </font>
    <font>
      <sz val="14"/>
      <color theme="1"/>
      <name val="Calibri"/>
      <charset val="1"/>
    </font>
    <font>
      <sz val="11"/>
      <color theme="1"/>
      <name val="Arial"/>
      <charset val="1"/>
    </font>
    <font>
      <sz val="11"/>
      <color theme="1"/>
      <name val="Arial"/>
      <family val="2"/>
      <charset val="1"/>
    </font>
    <font>
      <sz val="16"/>
      <color theme="1"/>
      <name val="Calibri"/>
      <charset val="1"/>
    </font>
    <font>
      <b/>
      <sz val="16"/>
      <color theme="1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rial"/>
      <family val="2"/>
      <charset val="1"/>
    </font>
    <font>
      <b/>
      <sz val="16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0" fontId="1" fillId="0" borderId="0" xfId="0" applyFo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1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8" fillId="4" borderId="1" xfId="0" applyFont="1" applyFill="1" applyBorder="1"/>
    <xf numFmtId="0" fontId="8" fillId="5" borderId="1" xfId="0" applyFont="1" applyFill="1" applyBorder="1"/>
    <xf numFmtId="0" fontId="9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/>
    <xf numFmtId="1" fontId="13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calationLists" displayName="EscalationLists" ref="X1:AB20" totalsRowShown="0">
  <autoFilter ref="X1:AB20" xr:uid="{00000000-0009-0000-0100-000001000000}"/>
  <tableColumns count="5">
    <tableColumn id="1" xr3:uid="{00000000-0010-0000-0000-000001000000}" name="DM List"/>
    <tableColumn id="2" xr3:uid="{00000000-0010-0000-0000-000002000000}" name="AM List"/>
    <tableColumn id="3" xr3:uid="{00000000-0010-0000-0000-000003000000}" name="OM List"/>
    <tableColumn id="4" xr3:uid="{00000000-0010-0000-0000-000004000000}" name="BUM List"/>
    <tableColumn id="5" xr3:uid="{00000000-0010-0000-0000-000005000000}" name="SD Li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B90"/>
  <sheetViews>
    <sheetView tabSelected="1" topLeftCell="A76" zoomScaleNormal="100" workbookViewId="0">
      <selection activeCell="D84" sqref="D84"/>
    </sheetView>
  </sheetViews>
  <sheetFormatPr defaultColWidth="8.7109375" defaultRowHeight="15" x14ac:dyDescent="0.25"/>
  <cols>
    <col min="2" max="2" width="8.7109375" style="1"/>
    <col min="3" max="3" width="40.5703125" customWidth="1"/>
    <col min="4" max="4" width="30" customWidth="1"/>
    <col min="5" max="5" width="51.85546875" hidden="1" customWidth="1"/>
    <col min="6" max="6" width="24" customWidth="1"/>
    <col min="7" max="8" width="22" customWidth="1"/>
    <col min="9" max="10" width="31.7109375" customWidth="1"/>
    <col min="11" max="11" width="14" customWidth="1"/>
    <col min="12" max="12" width="60" customWidth="1"/>
    <col min="13" max="13" width="22" customWidth="1"/>
    <col min="14" max="14" width="24" customWidth="1"/>
    <col min="15" max="15" width="24.5703125" customWidth="1"/>
    <col min="16" max="16" width="20.42578125" customWidth="1"/>
    <col min="17" max="17" width="16.7109375" customWidth="1"/>
  </cols>
  <sheetData>
    <row r="1" spans="2:28" ht="18.75" customHeight="1" x14ac:dyDescent="0.25">
      <c r="L1" s="2"/>
      <c r="M1" s="2"/>
      <c r="N1" s="2"/>
      <c r="O1" s="2"/>
      <c r="P1" s="2"/>
      <c r="Q1" s="2"/>
      <c r="X1" s="2" t="s">
        <v>0</v>
      </c>
      <c r="Y1" s="2" t="s">
        <v>1</v>
      </c>
      <c r="Z1" s="2" t="s">
        <v>2</v>
      </c>
      <c r="AA1" s="2" t="s">
        <v>3</v>
      </c>
      <c r="AB1" s="2" t="s">
        <v>4</v>
      </c>
    </row>
    <row r="2" spans="2:28" ht="18.75" customHeight="1" x14ac:dyDescent="0.3">
      <c r="B2" s="3" t="s">
        <v>5</v>
      </c>
      <c r="C2" s="4" t="s">
        <v>6</v>
      </c>
      <c r="D2" s="4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170</v>
      </c>
      <c r="K2" s="5" t="s">
        <v>175</v>
      </c>
      <c r="L2" s="6" t="s">
        <v>13</v>
      </c>
      <c r="M2" s="6" t="s">
        <v>14</v>
      </c>
      <c r="N2" s="7"/>
      <c r="O2" s="7"/>
      <c r="P2" s="7"/>
      <c r="Q2" s="7"/>
      <c r="X2" s="7" t="s">
        <v>15</v>
      </c>
      <c r="Y2" s="7" t="s">
        <v>16</v>
      </c>
      <c r="Z2" s="7" t="s">
        <v>17</v>
      </c>
      <c r="AA2" s="7" t="s">
        <v>18</v>
      </c>
      <c r="AB2" s="7" t="s">
        <v>19</v>
      </c>
    </row>
    <row r="3" spans="2:28" ht="18.75" customHeight="1" x14ac:dyDescent="0.3">
      <c r="B3" s="8">
        <v>1</v>
      </c>
      <c r="C3" s="9" t="s">
        <v>20</v>
      </c>
      <c r="D3" s="9" t="s">
        <v>21</v>
      </c>
      <c r="E3" s="10" t="s">
        <v>22</v>
      </c>
      <c r="F3" s="11" t="s">
        <v>23</v>
      </c>
      <c r="G3" s="12" t="s">
        <v>16</v>
      </c>
      <c r="H3" s="12"/>
      <c r="I3" s="12" t="s">
        <v>18</v>
      </c>
      <c r="J3" s="12"/>
      <c r="K3" s="12" t="s">
        <v>19</v>
      </c>
      <c r="L3" s="13" t="str">
        <f t="shared" ref="L3:L34" si="0">TRIM(C3)&amp;IF(OR(F3="",F3="None"),"", " -&gt; "&amp;F3)&amp;IF(AND(OR(G3="",G3="None"),OR(H3="",H3="None")),"", " -&gt; "&amp;IF(OR(G3="",G3="None"),H3,G3))&amp;IF(OR(I3="",I3="None"),"", " -&gt; "&amp;I3)&amp;IF(OR(K3="",K3="None"),"", " -&gt; "&amp;K3)</f>
        <v>Awad Tmsah -&gt; Azza Karim -&gt; Michael Raafat -&gt; Fady Nassif -&gt; Maged Raouf</v>
      </c>
      <c r="M3" s="14" t="str">
        <f t="shared" ref="M3:M34" si="1">IF((IF(OR(F3="",F3="None"),"DM, ","")&amp;IF(AND(OR(G3="",G3="None"),OR(H3="",H3="None")),"AM/OM, ","")&amp;IF(OR(I3="",I3="None"),"BUM, ","")&amp;IF(OR(K3="",K3="None"),"SD, ",""))="","Complete","Missing: "&amp;LEFT((IF(OR(F3="",F3="None"),"DM, ","")&amp;IF(AND(OR(G3="",G3="None"),OR(H3="",H3="None")),"AM/OM, ","")&amp;IF(OR(I3="",I3="None"),"BUM, ","")&amp;IF(OR(K3="",K3="None"),"SD, ","")),LEN(IF(OR(F3="",F3="None"),"DM, ","")&amp;IF(AND(OR(G3="",G3="None"),OR(H3="",H3="None")),"AM/OM, ","")&amp;IF(OR(I3="",I3="None"),"BUM, ","")&amp;IF(OR(K3="",K3="None"),"SD, ",""))-2))</f>
        <v>Complete</v>
      </c>
      <c r="N3" s="7"/>
      <c r="O3" s="7"/>
      <c r="P3" s="7"/>
      <c r="Q3" s="7"/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</row>
    <row r="4" spans="2:28" ht="18.75" customHeight="1" x14ac:dyDescent="0.3">
      <c r="B4" s="8">
        <v>2</v>
      </c>
      <c r="C4" s="9" t="s">
        <v>29</v>
      </c>
      <c r="D4" s="9" t="s">
        <v>30</v>
      </c>
      <c r="E4" s="25" t="s">
        <v>169</v>
      </c>
      <c r="F4" s="11"/>
      <c r="G4" s="12" t="s">
        <v>16</v>
      </c>
      <c r="H4" s="12"/>
      <c r="I4" s="12" t="s">
        <v>18</v>
      </c>
      <c r="J4" s="12"/>
      <c r="K4" s="12" t="s">
        <v>19</v>
      </c>
      <c r="L4" s="13" t="str">
        <f t="shared" si="0"/>
        <v>Azza Karim -&gt; Michael Raafat -&gt; Fady Nassif -&gt; Maged Raouf</v>
      </c>
      <c r="M4" s="15" t="str">
        <f t="shared" si="1"/>
        <v>Missing: DM</v>
      </c>
      <c r="N4" s="7"/>
      <c r="O4" s="7"/>
      <c r="P4" s="7"/>
      <c r="X4" s="7" t="s">
        <v>31</v>
      </c>
      <c r="Y4" s="7" t="s">
        <v>28</v>
      </c>
      <c r="Z4" s="7" t="s">
        <v>32</v>
      </c>
      <c r="AA4" s="7" t="s">
        <v>33</v>
      </c>
    </row>
    <row r="5" spans="2:28" ht="18.75" customHeight="1" x14ac:dyDescent="0.3">
      <c r="B5" s="8">
        <v>3</v>
      </c>
      <c r="C5" s="9" t="s">
        <v>34</v>
      </c>
      <c r="D5" s="9" t="s">
        <v>21</v>
      </c>
      <c r="E5" s="9" t="s">
        <v>35</v>
      </c>
      <c r="F5" s="11" t="s">
        <v>15</v>
      </c>
      <c r="G5" s="12" t="s">
        <v>25</v>
      </c>
      <c r="H5" s="12"/>
      <c r="I5" s="12" t="s">
        <v>18</v>
      </c>
      <c r="J5" s="12"/>
      <c r="K5" s="12" t="s">
        <v>19</v>
      </c>
      <c r="L5" s="13" t="str">
        <f t="shared" si="0"/>
        <v>Vacant Haram faisyal -&gt; Kirollos Rizk -&gt; Michael Antonyo -&gt; Fady Nassif -&gt; Maged Raouf</v>
      </c>
      <c r="M5" s="14" t="str">
        <f t="shared" si="1"/>
        <v>Complete</v>
      </c>
      <c r="O5" s="7"/>
      <c r="P5" s="7"/>
      <c r="X5" s="7" t="s">
        <v>36</v>
      </c>
      <c r="Z5" s="7" t="s">
        <v>23</v>
      </c>
      <c r="AA5" s="7" t="s">
        <v>28</v>
      </c>
    </row>
    <row r="6" spans="2:28" ht="18.75" customHeight="1" x14ac:dyDescent="0.3">
      <c r="B6" s="8">
        <v>4</v>
      </c>
      <c r="C6" s="9" t="s">
        <v>37</v>
      </c>
      <c r="D6" s="9" t="s">
        <v>30</v>
      </c>
      <c r="E6" s="10" t="s">
        <v>38</v>
      </c>
      <c r="F6" s="11"/>
      <c r="G6" s="12" t="s">
        <v>25</v>
      </c>
      <c r="H6" s="12"/>
      <c r="I6" s="12" t="s">
        <v>18</v>
      </c>
      <c r="J6" s="12"/>
      <c r="K6" s="12" t="s">
        <v>19</v>
      </c>
      <c r="L6" s="13" t="str">
        <f t="shared" si="0"/>
        <v>Kirollos Rizk -&gt; Michael Antonyo -&gt; Fady Nassif -&gt; Maged Raouf</v>
      </c>
      <c r="M6" s="15" t="str">
        <f t="shared" si="1"/>
        <v>Missing: DM</v>
      </c>
      <c r="O6" s="7"/>
      <c r="X6" s="7" t="s">
        <v>39</v>
      </c>
      <c r="Z6" s="7" t="s">
        <v>28</v>
      </c>
    </row>
    <row r="7" spans="2:28" ht="18.75" customHeight="1" x14ac:dyDescent="0.3">
      <c r="B7" s="8">
        <v>5</v>
      </c>
      <c r="C7" s="9" t="s">
        <v>40</v>
      </c>
      <c r="D7" s="9" t="s">
        <v>21</v>
      </c>
      <c r="E7" s="10" t="s">
        <v>41</v>
      </c>
      <c r="F7" s="11"/>
      <c r="G7" s="12" t="s">
        <v>25</v>
      </c>
      <c r="H7" s="12"/>
      <c r="I7" s="12" t="s">
        <v>18</v>
      </c>
      <c r="J7" s="12"/>
      <c r="K7" s="12" t="s">
        <v>19</v>
      </c>
      <c r="L7" s="13" t="str">
        <f t="shared" si="0"/>
        <v>Christena Roshdy -&gt; Michael Antonyo -&gt; Fady Nassif -&gt; Maged Raouf</v>
      </c>
      <c r="M7" s="15" t="str">
        <f t="shared" si="1"/>
        <v>Missing: DM</v>
      </c>
      <c r="X7" s="7" t="s">
        <v>42</v>
      </c>
    </row>
    <row r="8" spans="2:28" ht="18.75" customHeight="1" x14ac:dyDescent="0.3">
      <c r="B8" s="8">
        <v>6</v>
      </c>
      <c r="C8" s="9" t="s">
        <v>43</v>
      </c>
      <c r="D8" s="9" t="s">
        <v>21</v>
      </c>
      <c r="E8" s="10" t="s">
        <v>44</v>
      </c>
      <c r="F8" s="11"/>
      <c r="G8" s="12" t="s">
        <v>16</v>
      </c>
      <c r="H8" s="12"/>
      <c r="I8" s="12" t="s">
        <v>18</v>
      </c>
      <c r="J8" s="12"/>
      <c r="K8" s="12" t="s">
        <v>19</v>
      </c>
      <c r="L8" s="13" t="str">
        <f t="shared" si="0"/>
        <v>Peter Emad -&gt; Michael Raafat -&gt; Fady Nassif -&gt; Maged Raouf</v>
      </c>
      <c r="M8" s="15" t="str">
        <f t="shared" si="1"/>
        <v>Missing: DM</v>
      </c>
      <c r="X8" s="7" t="s">
        <v>45</v>
      </c>
    </row>
    <row r="9" spans="2:28" ht="18.75" customHeight="1" x14ac:dyDescent="0.3">
      <c r="B9" s="8">
        <v>7</v>
      </c>
      <c r="C9" s="9" t="s">
        <v>46</v>
      </c>
      <c r="D9" s="9" t="s">
        <v>30</v>
      </c>
      <c r="E9" s="10" t="s">
        <v>47</v>
      </c>
      <c r="F9" s="11"/>
      <c r="G9" s="12"/>
      <c r="H9" s="12"/>
      <c r="I9" s="12" t="s">
        <v>18</v>
      </c>
      <c r="J9" s="12"/>
      <c r="K9" s="12" t="s">
        <v>19</v>
      </c>
      <c r="L9" s="13" t="str">
        <f t="shared" si="0"/>
        <v>Esraa el shimy -&gt; Fady Nassif -&gt; Maged Raouf</v>
      </c>
      <c r="M9" s="15" t="str">
        <f t="shared" si="1"/>
        <v>Missing: DM, AM/OM</v>
      </c>
      <c r="X9" s="7" t="s">
        <v>48</v>
      </c>
    </row>
    <row r="10" spans="2:28" ht="18.75" customHeight="1" x14ac:dyDescent="0.3">
      <c r="B10" s="8">
        <v>8</v>
      </c>
      <c r="C10" s="9" t="s">
        <v>49</v>
      </c>
      <c r="D10" s="9" t="s">
        <v>21</v>
      </c>
      <c r="E10" s="9" t="s">
        <v>50</v>
      </c>
      <c r="F10" s="11" t="s">
        <v>24</v>
      </c>
      <c r="G10" s="12"/>
      <c r="H10" s="12"/>
      <c r="I10" s="12" t="s">
        <v>51</v>
      </c>
      <c r="J10" s="12"/>
      <c r="K10" s="12" t="s">
        <v>19</v>
      </c>
      <c r="L10" s="13" t="str">
        <f t="shared" si="0"/>
        <v>Vacant Maadi/Helwan -&gt; Esraa el shimy -&gt; Fady Nassif  -&gt; Maged Raouf</v>
      </c>
      <c r="M10" s="15" t="str">
        <f t="shared" si="1"/>
        <v>Missing: AM/OM</v>
      </c>
      <c r="X10" s="7"/>
    </row>
    <row r="11" spans="2:28" ht="18.75" customHeight="1" x14ac:dyDescent="0.3">
      <c r="B11" s="8">
        <v>9</v>
      </c>
      <c r="C11" s="9" t="s">
        <v>49</v>
      </c>
      <c r="D11" s="9" t="s">
        <v>52</v>
      </c>
      <c r="E11" s="9" t="s">
        <v>50</v>
      </c>
      <c r="F11" s="11" t="s">
        <v>45</v>
      </c>
      <c r="G11" s="12"/>
      <c r="H11" s="12"/>
      <c r="I11" s="12" t="s">
        <v>53</v>
      </c>
      <c r="J11" s="12"/>
      <c r="K11" s="12" t="s">
        <v>19</v>
      </c>
      <c r="L11" s="13" t="str">
        <f t="shared" si="0"/>
        <v>Vacant Maadi/Helwan -&gt; Marwa shaaban -&gt; Osama Bert  -&gt; Maged Raouf</v>
      </c>
      <c r="M11" s="15" t="str">
        <f t="shared" si="1"/>
        <v>Missing: AM/OM</v>
      </c>
      <c r="X11" s="7" t="s">
        <v>54</v>
      </c>
    </row>
    <row r="12" spans="2:28" ht="18.75" customHeight="1" x14ac:dyDescent="0.3">
      <c r="B12" s="8">
        <v>10</v>
      </c>
      <c r="C12" s="9" t="s">
        <v>55</v>
      </c>
      <c r="D12" s="9" t="s">
        <v>21</v>
      </c>
      <c r="E12" s="9" t="s">
        <v>55</v>
      </c>
      <c r="F12" s="11" t="s">
        <v>24</v>
      </c>
      <c r="G12" s="12"/>
      <c r="H12" s="12"/>
      <c r="I12" s="12" t="s">
        <v>18</v>
      </c>
      <c r="J12" s="12"/>
      <c r="K12" s="12" t="s">
        <v>19</v>
      </c>
      <c r="L12" s="13" t="str">
        <f t="shared" si="0"/>
        <v>Vacant Cairo East -&gt; Esraa el shimy -&gt; Fady Nassif -&gt; Maged Raouf</v>
      </c>
      <c r="M12" s="15" t="str">
        <f t="shared" si="1"/>
        <v>Missing: AM/OM</v>
      </c>
      <c r="X12" s="7" t="s">
        <v>56</v>
      </c>
    </row>
    <row r="13" spans="2:28" ht="18.75" customHeight="1" x14ac:dyDescent="0.3">
      <c r="B13" s="8">
        <v>11</v>
      </c>
      <c r="C13" s="9" t="s">
        <v>57</v>
      </c>
      <c r="D13" s="9" t="s">
        <v>21</v>
      </c>
      <c r="E13" s="10" t="s">
        <v>58</v>
      </c>
      <c r="F13" s="11" t="s">
        <v>31</v>
      </c>
      <c r="G13" s="12" t="s">
        <v>25</v>
      </c>
      <c r="H13" s="12"/>
      <c r="I13" s="12" t="s">
        <v>18</v>
      </c>
      <c r="J13" s="12"/>
      <c r="K13" s="12" t="s">
        <v>19</v>
      </c>
      <c r="L13" s="13" t="str">
        <f t="shared" si="0"/>
        <v>shady Gamal -&gt; Rafik Maged -&gt; Michael Antonyo -&gt; Fady Nassif -&gt; Maged Raouf</v>
      </c>
      <c r="M13" s="14" t="str">
        <f t="shared" si="1"/>
        <v>Complete</v>
      </c>
      <c r="X13" s="7" t="s">
        <v>59</v>
      </c>
    </row>
    <row r="14" spans="2:28" ht="18.75" customHeight="1" x14ac:dyDescent="0.3">
      <c r="B14" s="8">
        <v>12</v>
      </c>
      <c r="C14" s="9" t="s">
        <v>62</v>
      </c>
      <c r="D14" s="9" t="s">
        <v>21</v>
      </c>
      <c r="E14" s="9" t="s">
        <v>61</v>
      </c>
      <c r="F14" s="11" t="s">
        <v>62</v>
      </c>
      <c r="G14" s="12" t="s">
        <v>25</v>
      </c>
      <c r="H14" s="12"/>
      <c r="I14" s="12" t="s">
        <v>18</v>
      </c>
      <c r="J14" s="12"/>
      <c r="K14" s="12" t="s">
        <v>19</v>
      </c>
      <c r="L14" s="13" t="str">
        <f t="shared" si="0"/>
        <v>Maher Khamis -&gt; Maher Khamis -&gt; Michael Antonyo -&gt; Fady Nassif -&gt; Maged Raouf</v>
      </c>
      <c r="M14" s="14" t="str">
        <f t="shared" si="1"/>
        <v>Complete</v>
      </c>
      <c r="X14" s="7" t="s">
        <v>62</v>
      </c>
    </row>
    <row r="15" spans="2:28" ht="18.75" customHeight="1" x14ac:dyDescent="0.3">
      <c r="B15" s="8">
        <v>13</v>
      </c>
      <c r="C15" s="9" t="s">
        <v>63</v>
      </c>
      <c r="D15" s="9" t="s">
        <v>21</v>
      </c>
      <c r="E15" s="10" t="s">
        <v>64</v>
      </c>
      <c r="F15" s="11"/>
      <c r="G15" s="12"/>
      <c r="H15" s="12" t="s">
        <v>32</v>
      </c>
      <c r="I15" s="12" t="s">
        <v>18</v>
      </c>
      <c r="J15" s="12"/>
      <c r="K15" s="12" t="s">
        <v>19</v>
      </c>
      <c r="L15" s="13" t="str">
        <f t="shared" si="0"/>
        <v>Kirollos Girgis -&gt; Wael Atef -&gt; Fady Nassif -&gt; Maged Raouf</v>
      </c>
      <c r="M15" s="15" t="str">
        <f t="shared" si="1"/>
        <v>Missing: DM</v>
      </c>
      <c r="X15" s="7" t="s">
        <v>65</v>
      </c>
    </row>
    <row r="16" spans="2:28" ht="18.75" customHeight="1" x14ac:dyDescent="0.3">
      <c r="B16" s="8">
        <v>14</v>
      </c>
      <c r="C16" s="9" t="s">
        <v>66</v>
      </c>
      <c r="D16" s="9" t="s">
        <v>21</v>
      </c>
      <c r="E16" s="10" t="s">
        <v>67</v>
      </c>
      <c r="F16" s="11"/>
      <c r="G16" s="12"/>
      <c r="H16" s="12" t="s">
        <v>26</v>
      </c>
      <c r="I16" s="12" t="s">
        <v>18</v>
      </c>
      <c r="J16" s="12"/>
      <c r="K16" s="12" t="s">
        <v>19</v>
      </c>
      <c r="L16" s="13" t="str">
        <f t="shared" si="0"/>
        <v>Yasser Yosry -&gt; Mina Michel -&gt; Fady Nassif -&gt; Maged Raouf</v>
      </c>
      <c r="M16" s="15" t="str">
        <f t="shared" si="1"/>
        <v>Missing: DM</v>
      </c>
      <c r="X16" s="7" t="s">
        <v>23</v>
      </c>
    </row>
    <row r="17" spans="2:24" ht="18.75" customHeight="1" x14ac:dyDescent="0.3">
      <c r="B17" s="8">
        <v>14</v>
      </c>
      <c r="C17" s="9" t="s">
        <v>168</v>
      </c>
      <c r="D17" s="9" t="s">
        <v>21</v>
      </c>
      <c r="E17" s="10" t="s">
        <v>166</v>
      </c>
      <c r="F17" s="11" t="s">
        <v>28</v>
      </c>
      <c r="G17" s="12"/>
      <c r="H17" s="12" t="s">
        <v>26</v>
      </c>
      <c r="I17" s="12" t="s">
        <v>51</v>
      </c>
      <c r="J17" s="12"/>
      <c r="K17" s="12" t="s">
        <v>19</v>
      </c>
      <c r="L17" s="13" t="str">
        <f t="shared" si="0"/>
        <v>Eman -Alex -&gt; Mina Michel -&gt; Fady Nassif  -&gt; Maged Raouf</v>
      </c>
      <c r="M17" s="15" t="str">
        <f t="shared" si="1"/>
        <v>Missing: DM</v>
      </c>
      <c r="X17" s="7"/>
    </row>
    <row r="18" spans="2:24" ht="18.75" customHeight="1" x14ac:dyDescent="0.3">
      <c r="B18" s="8">
        <v>14</v>
      </c>
      <c r="C18" s="9" t="s">
        <v>68</v>
      </c>
      <c r="D18" s="9" t="s">
        <v>52</v>
      </c>
      <c r="E18" s="10" t="s">
        <v>69</v>
      </c>
      <c r="F18" s="11" t="s">
        <v>28</v>
      </c>
      <c r="G18" s="12"/>
      <c r="H18" s="12" t="s">
        <v>26</v>
      </c>
      <c r="I18" s="12" t="s">
        <v>53</v>
      </c>
      <c r="J18" s="12"/>
      <c r="K18" s="12" t="s">
        <v>19</v>
      </c>
      <c r="L18" s="13" t="str">
        <f t="shared" si="0"/>
        <v>Vacant Alex 2 -&gt; Mina Michel -&gt; Osama Bert  -&gt; Maged Raouf</v>
      </c>
      <c r="M18" s="15" t="str">
        <f t="shared" si="1"/>
        <v>Missing: DM</v>
      </c>
      <c r="X18" s="7"/>
    </row>
    <row r="19" spans="2:24" ht="18.75" customHeight="1" x14ac:dyDescent="0.3">
      <c r="B19" s="8">
        <v>15</v>
      </c>
      <c r="C19" s="9" t="s">
        <v>68</v>
      </c>
      <c r="D19" s="9" t="s">
        <v>70</v>
      </c>
      <c r="E19" s="10" t="s">
        <v>69</v>
      </c>
      <c r="F19" s="11" t="s">
        <v>59</v>
      </c>
      <c r="G19" s="12"/>
      <c r="H19" s="12" t="s">
        <v>28</v>
      </c>
      <c r="I19" s="12" t="s">
        <v>71</v>
      </c>
      <c r="J19" s="12"/>
      <c r="K19" s="12" t="s">
        <v>19</v>
      </c>
      <c r="L19" s="13" t="str">
        <f t="shared" si="0"/>
        <v>Vacant Alex 2 -&gt; Milad Mikhaeel -&gt; Noha samir  -&gt; Maged Raouf</v>
      </c>
      <c r="M19" s="15" t="str">
        <f t="shared" si="1"/>
        <v>Missing: AM/OM</v>
      </c>
      <c r="X19" s="7"/>
    </row>
    <row r="20" spans="2:24" ht="18.75" customHeight="1" x14ac:dyDescent="0.3">
      <c r="B20" s="8">
        <v>16</v>
      </c>
      <c r="C20" s="9" t="s">
        <v>72</v>
      </c>
      <c r="D20" s="9" t="s">
        <v>21</v>
      </c>
      <c r="E20" s="10" t="s">
        <v>73</v>
      </c>
      <c r="F20" s="11" t="s">
        <v>36</v>
      </c>
      <c r="G20" s="12" t="s">
        <v>25</v>
      </c>
      <c r="H20" s="12"/>
      <c r="I20" s="12" t="s">
        <v>18</v>
      </c>
      <c r="J20" s="12"/>
      <c r="K20" s="12" t="s">
        <v>19</v>
      </c>
      <c r="L20" s="13" t="str">
        <f t="shared" si="0"/>
        <v>Ayman Younes -&gt; Peter Basily -&gt; Michael Antonyo -&gt; Fady Nassif -&gt; Maged Raouf</v>
      </c>
      <c r="M20" s="14" t="str">
        <f t="shared" si="1"/>
        <v>Complete</v>
      </c>
      <c r="X20" s="7" t="s">
        <v>28</v>
      </c>
    </row>
    <row r="21" spans="2:24" ht="18.75" customHeight="1" x14ac:dyDescent="0.3">
      <c r="B21" s="8">
        <v>17</v>
      </c>
      <c r="C21" s="9" t="s">
        <v>74</v>
      </c>
      <c r="D21" s="9" t="s">
        <v>21</v>
      </c>
      <c r="E21" s="10" t="s">
        <v>75</v>
      </c>
      <c r="F21" s="11" t="s">
        <v>36</v>
      </c>
      <c r="G21" s="12" t="s">
        <v>25</v>
      </c>
      <c r="H21" s="12"/>
      <c r="I21" s="12" t="s">
        <v>18</v>
      </c>
      <c r="J21" s="12"/>
      <c r="K21" s="12" t="s">
        <v>19</v>
      </c>
      <c r="L21" s="13" t="str">
        <f t="shared" si="0"/>
        <v>Sameh -&gt; Peter Basily -&gt; Michael Antonyo -&gt; Fady Nassif -&gt; Maged Raouf</v>
      </c>
      <c r="M21" s="14" t="str">
        <f t="shared" si="1"/>
        <v>Complete</v>
      </c>
    </row>
    <row r="22" spans="2:24" ht="18.75" customHeight="1" x14ac:dyDescent="0.3">
      <c r="B22" s="8">
        <v>18</v>
      </c>
      <c r="C22" s="9" t="s">
        <v>76</v>
      </c>
      <c r="D22" s="9" t="s">
        <v>52</v>
      </c>
      <c r="E22" s="10" t="s">
        <v>77</v>
      </c>
      <c r="F22" s="11"/>
      <c r="G22" s="12"/>
      <c r="H22" s="12"/>
      <c r="I22" s="12" t="s">
        <v>27</v>
      </c>
      <c r="J22" s="12"/>
      <c r="K22" s="12" t="s">
        <v>19</v>
      </c>
      <c r="L22" s="13" t="str">
        <f t="shared" si="0"/>
        <v>Philip Nayer -&gt; Osama Bert -&gt; Maged Raouf</v>
      </c>
      <c r="M22" s="15" t="str">
        <f t="shared" si="1"/>
        <v>Missing: DM, AM/OM</v>
      </c>
    </row>
    <row r="23" spans="2:24" ht="18.75" customHeight="1" x14ac:dyDescent="0.3">
      <c r="B23" s="8">
        <v>19</v>
      </c>
      <c r="C23" s="9" t="s">
        <v>78</v>
      </c>
      <c r="D23" s="9" t="s">
        <v>52</v>
      </c>
      <c r="E23" s="10" t="s">
        <v>79</v>
      </c>
      <c r="F23" s="11"/>
      <c r="G23" s="12"/>
      <c r="H23" s="12"/>
      <c r="I23" s="12" t="s">
        <v>27</v>
      </c>
      <c r="J23" s="12"/>
      <c r="K23" s="12" t="s">
        <v>19</v>
      </c>
      <c r="L23" s="13" t="str">
        <f t="shared" si="0"/>
        <v>Fawzy Nasser -&gt; Osama Bert -&gt; Maged Raouf</v>
      </c>
      <c r="M23" s="15" t="str">
        <f t="shared" si="1"/>
        <v>Missing: DM, AM/OM</v>
      </c>
    </row>
    <row r="24" spans="2:24" ht="18.75" customHeight="1" x14ac:dyDescent="0.3">
      <c r="B24" s="8">
        <v>20</v>
      </c>
      <c r="C24" s="9" t="s">
        <v>80</v>
      </c>
      <c r="D24" s="9" t="s">
        <v>52</v>
      </c>
      <c r="E24" s="10" t="s">
        <v>81</v>
      </c>
      <c r="F24" s="11" t="s">
        <v>45</v>
      </c>
      <c r="G24" s="12"/>
      <c r="H24" s="12"/>
      <c r="I24" s="12" t="s">
        <v>27</v>
      </c>
      <c r="J24" s="12"/>
      <c r="K24" s="12" t="s">
        <v>19</v>
      </c>
      <c r="L24" s="13" t="str">
        <f t="shared" si="0"/>
        <v>Esraa shehata -&gt; Marwa shaaban -&gt; Osama Bert -&gt; Maged Raouf</v>
      </c>
      <c r="M24" s="15" t="str">
        <f t="shared" si="1"/>
        <v>Missing: AM/OM</v>
      </c>
    </row>
    <row r="25" spans="2:24" ht="18.75" customHeight="1" x14ac:dyDescent="0.3">
      <c r="B25" s="8">
        <v>21</v>
      </c>
      <c r="C25" s="9" t="s">
        <v>82</v>
      </c>
      <c r="D25" s="9" t="s">
        <v>52</v>
      </c>
      <c r="E25" s="10" t="s">
        <v>44</v>
      </c>
      <c r="F25" s="11"/>
      <c r="G25" s="12"/>
      <c r="H25" s="12"/>
      <c r="I25" s="12" t="s">
        <v>27</v>
      </c>
      <c r="J25" s="12"/>
      <c r="K25" s="12" t="s">
        <v>19</v>
      </c>
      <c r="L25" s="13" t="str">
        <f t="shared" si="0"/>
        <v>Engy Hosny -&gt; Osama Bert -&gt; Maged Raouf</v>
      </c>
      <c r="M25" s="15" t="str">
        <f t="shared" si="1"/>
        <v>Missing: DM, AM/OM</v>
      </c>
    </row>
    <row r="26" spans="2:24" ht="21" customHeight="1" x14ac:dyDescent="0.3">
      <c r="B26" s="8">
        <v>22</v>
      </c>
      <c r="C26" s="9" t="s">
        <v>83</v>
      </c>
      <c r="D26" s="9" t="s">
        <v>52</v>
      </c>
      <c r="E26" s="10" t="s">
        <v>84</v>
      </c>
      <c r="F26" s="11" t="s">
        <v>42</v>
      </c>
      <c r="G26" s="12"/>
      <c r="H26" s="12"/>
      <c r="I26" s="12" t="s">
        <v>27</v>
      </c>
      <c r="J26" s="12"/>
      <c r="K26" s="12" t="s">
        <v>19</v>
      </c>
      <c r="L26" s="13" t="str">
        <f t="shared" si="0"/>
        <v>Sara Adel -&gt; Bassem Hanna -&gt; Osama Bert -&gt; Maged Raouf</v>
      </c>
      <c r="M26" s="15" t="str">
        <f t="shared" si="1"/>
        <v>Missing: AM/OM</v>
      </c>
    </row>
    <row r="27" spans="2:24" ht="18.75" customHeight="1" x14ac:dyDescent="0.3">
      <c r="B27" s="8">
        <v>23</v>
      </c>
      <c r="C27" s="9" t="s">
        <v>85</v>
      </c>
      <c r="D27" s="9" t="s">
        <v>52</v>
      </c>
      <c r="E27" s="10" t="s">
        <v>41</v>
      </c>
      <c r="F27" s="11" t="s">
        <v>42</v>
      </c>
      <c r="G27" s="12"/>
      <c r="H27" s="12"/>
      <c r="I27" s="12" t="s">
        <v>27</v>
      </c>
      <c r="J27" s="12"/>
      <c r="K27" s="12" t="s">
        <v>19</v>
      </c>
      <c r="L27" s="13" t="str">
        <f t="shared" si="0"/>
        <v>Mostafa Ahmed -&gt; Bassem Hanna -&gt; Osama Bert -&gt; Maged Raouf</v>
      </c>
      <c r="M27" s="15" t="str">
        <f t="shared" si="1"/>
        <v>Missing: AM/OM</v>
      </c>
    </row>
    <row r="28" spans="2:24" ht="18.75" customHeight="1" x14ac:dyDescent="0.3">
      <c r="B28" s="8">
        <v>24</v>
      </c>
      <c r="C28" s="9" t="s">
        <v>86</v>
      </c>
      <c r="D28" s="9" t="s">
        <v>52</v>
      </c>
      <c r="E28" s="10" t="s">
        <v>87</v>
      </c>
      <c r="F28" s="11" t="s">
        <v>42</v>
      </c>
      <c r="G28" s="12"/>
      <c r="H28" s="12"/>
      <c r="I28" s="12" t="s">
        <v>27</v>
      </c>
      <c r="J28" s="12"/>
      <c r="K28" s="12" t="s">
        <v>19</v>
      </c>
      <c r="L28" s="13" t="str">
        <f t="shared" si="0"/>
        <v>Mohamed Baiomy -&gt; Bassem Hanna -&gt; Osama Bert -&gt; Maged Raouf</v>
      </c>
      <c r="M28" s="15" t="str">
        <f t="shared" si="1"/>
        <v>Missing: AM/OM</v>
      </c>
    </row>
    <row r="29" spans="2:24" ht="18.75" customHeight="1" x14ac:dyDescent="0.3">
      <c r="B29" s="8">
        <v>25</v>
      </c>
      <c r="C29" s="9" t="s">
        <v>88</v>
      </c>
      <c r="D29" s="9" t="s">
        <v>52</v>
      </c>
      <c r="E29" s="9" t="s">
        <v>89</v>
      </c>
      <c r="F29" s="11" t="s">
        <v>45</v>
      </c>
      <c r="G29" s="12"/>
      <c r="H29" s="12"/>
      <c r="I29" s="12" t="s">
        <v>27</v>
      </c>
      <c r="J29" s="12"/>
      <c r="K29" s="12" t="s">
        <v>19</v>
      </c>
      <c r="L29" s="13" t="str">
        <f t="shared" si="0"/>
        <v>Vacant Nasr city -&gt; Marwa shaaban -&gt; Osama Bert -&gt; Maged Raouf</v>
      </c>
      <c r="M29" s="15" t="str">
        <f t="shared" si="1"/>
        <v>Missing: AM/OM</v>
      </c>
    </row>
    <row r="30" spans="2:24" ht="18.75" customHeight="1" x14ac:dyDescent="0.3">
      <c r="B30" s="8">
        <v>26</v>
      </c>
      <c r="C30" s="9" t="s">
        <v>90</v>
      </c>
      <c r="D30" s="9" t="s">
        <v>52</v>
      </c>
      <c r="E30" s="9" t="s">
        <v>58</v>
      </c>
      <c r="F30" s="11" t="s">
        <v>31</v>
      </c>
      <c r="G30" s="12"/>
      <c r="H30" s="12"/>
      <c r="I30" s="12" t="s">
        <v>27</v>
      </c>
      <c r="J30" s="12"/>
      <c r="K30" s="12" t="s">
        <v>19</v>
      </c>
      <c r="L30" s="13" t="str">
        <f t="shared" si="0"/>
        <v>Amanda Medhat -&gt; Rafik Maged -&gt; Osama Bert -&gt; Maged Raouf</v>
      </c>
      <c r="M30" s="15" t="str">
        <f t="shared" si="1"/>
        <v>Missing: AM/OM</v>
      </c>
    </row>
    <row r="31" spans="2:24" ht="18.75" customHeight="1" x14ac:dyDescent="0.3">
      <c r="B31" s="8">
        <v>27</v>
      </c>
      <c r="C31" s="9" t="s">
        <v>91</v>
      </c>
      <c r="D31" s="9" t="s">
        <v>52</v>
      </c>
      <c r="E31" s="10" t="s">
        <v>67</v>
      </c>
      <c r="F31" s="11"/>
      <c r="G31" s="12"/>
      <c r="H31" s="12" t="s">
        <v>26</v>
      </c>
      <c r="I31" s="12" t="s">
        <v>27</v>
      </c>
      <c r="J31" s="12"/>
      <c r="K31" s="12" t="s">
        <v>19</v>
      </c>
      <c r="L31" s="13" t="str">
        <f t="shared" si="0"/>
        <v>Helana Alex 1 -&gt; Mina Michel -&gt; Osama Bert -&gt; Maged Raouf</v>
      </c>
      <c r="M31" s="15" t="str">
        <f t="shared" si="1"/>
        <v>Missing: DM</v>
      </c>
    </row>
    <row r="32" spans="2:24" ht="18.75" customHeight="1" x14ac:dyDescent="0.3">
      <c r="B32" s="8">
        <v>28</v>
      </c>
      <c r="C32" s="9" t="s">
        <v>92</v>
      </c>
      <c r="D32" s="9" t="s">
        <v>52</v>
      </c>
      <c r="E32" s="10" t="s">
        <v>93</v>
      </c>
      <c r="F32" s="11"/>
      <c r="G32" s="12"/>
      <c r="H32" s="12" t="s">
        <v>17</v>
      </c>
      <c r="I32" s="12" t="s">
        <v>27</v>
      </c>
      <c r="J32" s="12"/>
      <c r="K32" s="12" t="s">
        <v>19</v>
      </c>
      <c r="L32" s="13" t="str">
        <f t="shared" si="0"/>
        <v>Marina Sameh -&gt; Peter Abdel Nour -&gt; Osama Bert -&gt; Maged Raouf</v>
      </c>
      <c r="M32" s="15" t="str">
        <f t="shared" si="1"/>
        <v>Missing: DM</v>
      </c>
    </row>
    <row r="33" spans="2:13" ht="21" customHeight="1" x14ac:dyDescent="0.35">
      <c r="B33" s="8">
        <v>29</v>
      </c>
      <c r="C33" s="9" t="s">
        <v>94</v>
      </c>
      <c r="D33" s="16" t="s">
        <v>52</v>
      </c>
      <c r="E33" s="9" t="s">
        <v>95</v>
      </c>
      <c r="F33" s="11" t="s">
        <v>56</v>
      </c>
      <c r="G33" s="12"/>
      <c r="H33" s="12" t="s">
        <v>17</v>
      </c>
      <c r="I33" s="12" t="s">
        <v>27</v>
      </c>
      <c r="J33" s="12"/>
      <c r="K33" s="12" t="s">
        <v>19</v>
      </c>
      <c r="L33" s="13" t="str">
        <f t="shared" si="0"/>
        <v>Ahmed Hassan -&gt; Marian Adel -&gt; Peter Abdel Nour -&gt; Osama Bert -&gt; Maged Raouf</v>
      </c>
      <c r="M33" s="15" t="str">
        <f t="shared" si="1"/>
        <v>Complete</v>
      </c>
    </row>
    <row r="34" spans="2:13" ht="18.75" customHeight="1" x14ac:dyDescent="0.3">
      <c r="B34" s="8">
        <v>30</v>
      </c>
      <c r="C34" s="9" t="s">
        <v>96</v>
      </c>
      <c r="D34" s="9" t="s">
        <v>52</v>
      </c>
      <c r="E34" s="10" t="s">
        <v>97</v>
      </c>
      <c r="F34" s="11" t="s">
        <v>36</v>
      </c>
      <c r="G34" s="12" t="s">
        <v>25</v>
      </c>
      <c r="H34" s="12"/>
      <c r="I34" s="12" t="s">
        <v>98</v>
      </c>
      <c r="J34" s="12"/>
      <c r="K34" s="12" t="s">
        <v>19</v>
      </c>
      <c r="L34" s="13" t="str">
        <f t="shared" si="0"/>
        <v>Ahmed el Mesalamy -&gt; Peter Basily -&gt; Michael Antonyo -&gt; Osama Bert, Noha samir -&gt; Maged Raouf</v>
      </c>
      <c r="M34" s="15" t="str">
        <f t="shared" si="1"/>
        <v>Complete</v>
      </c>
    </row>
    <row r="35" spans="2:13" ht="18.75" customHeight="1" x14ac:dyDescent="0.3">
      <c r="B35" s="8">
        <v>31</v>
      </c>
      <c r="C35" s="9" t="s">
        <v>99</v>
      </c>
      <c r="D35" s="9" t="s">
        <v>52</v>
      </c>
      <c r="E35" s="10" t="s">
        <v>73</v>
      </c>
      <c r="F35" s="11" t="s">
        <v>36</v>
      </c>
      <c r="G35" s="12" t="s">
        <v>25</v>
      </c>
      <c r="H35" s="12"/>
      <c r="I35" s="12" t="s">
        <v>27</v>
      </c>
      <c r="J35" s="12"/>
      <c r="K35" s="12" t="s">
        <v>19</v>
      </c>
      <c r="L35" s="13" t="str">
        <f t="shared" ref="L35:L66" si="2">TRIM(C35)&amp;IF(OR(F35="",F35="None"),"", " -&gt; "&amp;F35)&amp;IF(AND(OR(G35="",G35="None"),OR(H35="",H35="None")),"", " -&gt; "&amp;IF(OR(G35="",G35="None"),H35,G35))&amp;IF(OR(I35="",I35="None"),"", " -&gt; "&amp;I35)&amp;IF(OR(K35="",K35="None"),"", " -&gt; "&amp;K35)</f>
        <v>Emad Latif -&gt; Peter Basily -&gt; Michael Antonyo -&gt; Osama Bert -&gt; Maged Raouf</v>
      </c>
      <c r="M35" s="14" t="str">
        <f t="shared" ref="M35:M69" si="3">IF((IF(OR(F35="",F35="None"),"DM, ","")&amp;IF(AND(OR(G35="",G35="None"),OR(H35="",H35="None")),"AM/OM, ","")&amp;IF(OR(I35="",I35="None"),"BUM, ","")&amp;IF(OR(K35="",K35="None"),"SD, ",""))="","Complete","Missing: "&amp;LEFT((IF(OR(F35="",F35="None"),"DM, ","")&amp;IF(AND(OR(G35="",G35="None"),OR(H35="",H35="None")),"AM/OM, ","")&amp;IF(OR(I35="",I35="None"),"BUM, ","")&amp;IF(OR(K35="",K35="None"),"SD, ","")),LEN(IF(OR(F35="",F35="None"),"DM, ","")&amp;IF(AND(OR(G35="",G35="None"),OR(H35="",H35="None")),"AM/OM, ","")&amp;IF(OR(I35="",I35="None"),"BUM, ","")&amp;IF(OR(K35="",K35="None"),"SD, ",""))-2))</f>
        <v>Complete</v>
      </c>
    </row>
    <row r="36" spans="2:13" ht="18.75" customHeight="1" x14ac:dyDescent="0.3">
      <c r="B36" s="8">
        <v>32</v>
      </c>
      <c r="C36" s="9" t="s">
        <v>100</v>
      </c>
      <c r="D36" s="9" t="s">
        <v>70</v>
      </c>
      <c r="E36" s="10" t="s">
        <v>58</v>
      </c>
      <c r="F36" s="11" t="s">
        <v>31</v>
      </c>
      <c r="G36" s="12"/>
      <c r="H36" s="12"/>
      <c r="I36" s="12" t="s">
        <v>33</v>
      </c>
      <c r="J36" s="12"/>
      <c r="K36" s="12" t="s">
        <v>19</v>
      </c>
      <c r="L36" s="13" t="str">
        <f t="shared" si="2"/>
        <v>Katrin Hosny -&gt; Rafik Maged -&gt; Noha samir -&gt; Maged Raouf</v>
      </c>
      <c r="M36" s="14" t="str">
        <f t="shared" si="3"/>
        <v>Missing: AM/OM</v>
      </c>
    </row>
    <row r="37" spans="2:13" ht="18.75" customHeight="1" x14ac:dyDescent="0.35">
      <c r="B37" s="17">
        <v>33</v>
      </c>
      <c r="C37" s="9" t="s">
        <v>101</v>
      </c>
      <c r="D37" s="9" t="s">
        <v>70</v>
      </c>
      <c r="E37" s="10" t="s">
        <v>77</v>
      </c>
      <c r="F37" s="11" t="s">
        <v>48</v>
      </c>
      <c r="G37" s="12"/>
      <c r="H37" s="12"/>
      <c r="I37" s="12" t="s">
        <v>33</v>
      </c>
      <c r="J37" s="12"/>
      <c r="K37" s="12" t="s">
        <v>19</v>
      </c>
      <c r="L37" s="13" t="str">
        <f t="shared" si="2"/>
        <v>Martina Micheel -&gt; Ramy Yousef -&gt; Noha samir -&gt; Maged Raouf</v>
      </c>
      <c r="M37" s="14" t="str">
        <f t="shared" si="3"/>
        <v>Missing: AM/OM</v>
      </c>
    </row>
    <row r="38" spans="2:13" ht="21" customHeight="1" x14ac:dyDescent="0.35">
      <c r="B38" s="17">
        <v>34</v>
      </c>
      <c r="C38" s="16" t="s">
        <v>102</v>
      </c>
      <c r="D38" s="16" t="s">
        <v>70</v>
      </c>
      <c r="E38" s="10" t="s">
        <v>103</v>
      </c>
      <c r="F38" s="11" t="s">
        <v>48</v>
      </c>
      <c r="G38" s="12"/>
      <c r="H38" s="12"/>
      <c r="I38" s="12" t="s">
        <v>33</v>
      </c>
      <c r="J38" s="12"/>
      <c r="K38" s="12" t="s">
        <v>19</v>
      </c>
      <c r="L38" s="13" t="str">
        <f t="shared" si="2"/>
        <v>Silvia Medhat -&gt; Ramy Yousef -&gt; Noha samir -&gt; Maged Raouf</v>
      </c>
      <c r="M38" s="15" t="str">
        <f t="shared" si="3"/>
        <v>Missing: AM/OM</v>
      </c>
    </row>
    <row r="39" spans="2:13" ht="21" customHeight="1" x14ac:dyDescent="0.35">
      <c r="B39" s="17">
        <v>35</v>
      </c>
      <c r="C39" s="16" t="s">
        <v>104</v>
      </c>
      <c r="D39" s="16" t="s">
        <v>70</v>
      </c>
      <c r="E39" s="10" t="s">
        <v>105</v>
      </c>
      <c r="F39" s="11" t="s">
        <v>54</v>
      </c>
      <c r="G39" s="12"/>
      <c r="H39" s="12"/>
      <c r="I39" s="12" t="s">
        <v>33</v>
      </c>
      <c r="J39" s="12"/>
      <c r="K39" s="12" t="s">
        <v>19</v>
      </c>
      <c r="L39" s="13" t="str">
        <f t="shared" si="2"/>
        <v>Yara -&gt; Naguib Mahfouz -&gt; Noha samir -&gt; Maged Raouf</v>
      </c>
      <c r="M39" s="15" t="str">
        <f t="shared" si="3"/>
        <v>Missing: AM/OM</v>
      </c>
    </row>
    <row r="40" spans="2:13" ht="21" customHeight="1" x14ac:dyDescent="0.35">
      <c r="B40" s="17">
        <v>36</v>
      </c>
      <c r="C40" s="16" t="s">
        <v>106</v>
      </c>
      <c r="D40" s="16" t="s">
        <v>70</v>
      </c>
      <c r="E40" s="10" t="s">
        <v>87</v>
      </c>
      <c r="F40" s="11" t="s">
        <v>54</v>
      </c>
      <c r="G40" s="12"/>
      <c r="H40" s="12"/>
      <c r="I40" s="12" t="s">
        <v>33</v>
      </c>
      <c r="J40" s="12"/>
      <c r="K40" s="12" t="s">
        <v>19</v>
      </c>
      <c r="L40" s="13" t="str">
        <f t="shared" si="2"/>
        <v>Ahmed el Behiry -&gt; Naguib Mahfouz -&gt; Noha samir -&gt; Maged Raouf</v>
      </c>
      <c r="M40" s="15" t="str">
        <f t="shared" si="3"/>
        <v>Missing: AM/OM</v>
      </c>
    </row>
    <row r="41" spans="2:13" ht="21" customHeight="1" x14ac:dyDescent="0.35">
      <c r="B41" s="17">
        <v>37</v>
      </c>
      <c r="C41" s="16" t="s">
        <v>167</v>
      </c>
      <c r="D41" s="16" t="s">
        <v>70</v>
      </c>
      <c r="E41" s="10" t="s">
        <v>41</v>
      </c>
      <c r="F41" s="11" t="s">
        <v>54</v>
      </c>
      <c r="G41" s="12"/>
      <c r="H41" s="12"/>
      <c r="I41" s="12" t="s">
        <v>33</v>
      </c>
      <c r="J41" s="12"/>
      <c r="K41" s="12" t="s">
        <v>19</v>
      </c>
      <c r="L41" s="13" t="str">
        <f t="shared" si="2"/>
        <v>Vacant october -&gt; Naguib Mahfouz -&gt; Noha samir -&gt; Maged Raouf</v>
      </c>
      <c r="M41" s="15" t="str">
        <f t="shared" si="3"/>
        <v>Missing: AM/OM</v>
      </c>
    </row>
    <row r="42" spans="2:13" ht="21" customHeight="1" x14ac:dyDescent="0.35">
      <c r="B42" s="17">
        <v>38</v>
      </c>
      <c r="C42" s="16" t="s">
        <v>107</v>
      </c>
      <c r="D42" s="16" t="s">
        <v>70</v>
      </c>
      <c r="E42" s="10" t="s">
        <v>67</v>
      </c>
      <c r="F42" s="11" t="s">
        <v>59</v>
      </c>
      <c r="G42" s="12"/>
      <c r="H42" s="12"/>
      <c r="I42" s="12" t="s">
        <v>33</v>
      </c>
      <c r="J42" s="12"/>
      <c r="K42" s="12" t="s">
        <v>19</v>
      </c>
      <c r="L42" s="13" t="str">
        <f t="shared" si="2"/>
        <v>Mohamed Ezzat -&gt; Milad Mikhaeel -&gt; Noha samir -&gt; Maged Raouf</v>
      </c>
      <c r="M42" s="15" t="str">
        <f t="shared" si="3"/>
        <v>Missing: AM/OM</v>
      </c>
    </row>
    <row r="43" spans="2:13" ht="21" customHeight="1" x14ac:dyDescent="0.35">
      <c r="B43" s="17">
        <v>39</v>
      </c>
      <c r="C43" s="16" t="s">
        <v>108</v>
      </c>
      <c r="D43" s="16" t="s">
        <v>70</v>
      </c>
      <c r="E43" s="10" t="s">
        <v>73</v>
      </c>
      <c r="F43" s="11" t="s">
        <v>36</v>
      </c>
      <c r="G43" s="12" t="s">
        <v>25</v>
      </c>
      <c r="H43" s="12"/>
      <c r="I43" s="12" t="s">
        <v>33</v>
      </c>
      <c r="J43" s="12"/>
      <c r="K43" s="12" t="s">
        <v>19</v>
      </c>
      <c r="L43" s="13" t="str">
        <f t="shared" si="2"/>
        <v>Mina Nabil -&gt; Peter Basily -&gt; Michael Antonyo -&gt; Noha samir -&gt; Maged Raouf</v>
      </c>
      <c r="M43" s="15" t="str">
        <f t="shared" si="3"/>
        <v>Complete</v>
      </c>
    </row>
    <row r="44" spans="2:13" ht="21" customHeight="1" x14ac:dyDescent="0.35">
      <c r="B44" s="17">
        <v>40</v>
      </c>
      <c r="C44" s="16" t="s">
        <v>109</v>
      </c>
      <c r="D44" s="16" t="s">
        <v>70</v>
      </c>
      <c r="E44" s="10" t="s">
        <v>93</v>
      </c>
      <c r="F44" s="11"/>
      <c r="G44" s="12"/>
      <c r="H44" s="12" t="s">
        <v>17</v>
      </c>
      <c r="I44" s="12" t="s">
        <v>33</v>
      </c>
      <c r="J44" s="12"/>
      <c r="K44" s="12" t="s">
        <v>19</v>
      </c>
      <c r="L44" s="13" t="str">
        <f t="shared" si="2"/>
        <v>Peter william -&gt; Peter Abdel Nour -&gt; Noha samir -&gt; Maged Raouf</v>
      </c>
      <c r="M44" s="15" t="str">
        <f t="shared" si="3"/>
        <v>Missing: DM</v>
      </c>
    </row>
    <row r="45" spans="2:13" ht="21" customHeight="1" x14ac:dyDescent="0.35">
      <c r="B45" s="17">
        <v>41</v>
      </c>
      <c r="C45" s="16" t="s">
        <v>110</v>
      </c>
      <c r="D45" s="16" t="s">
        <v>111</v>
      </c>
      <c r="E45" s="16" t="s">
        <v>112</v>
      </c>
      <c r="F45" s="11"/>
      <c r="G45" s="12"/>
      <c r="H45" s="12" t="s">
        <v>32</v>
      </c>
      <c r="I45" s="12" t="s">
        <v>165</v>
      </c>
      <c r="J45" s="12"/>
      <c r="K45" s="12" t="s">
        <v>19</v>
      </c>
      <c r="L45" s="13" t="str">
        <f t="shared" si="2"/>
        <v>John Amin -&gt; Wael Atef -&gt; Fady Nassif, Osama Bert, Noha samir  -&gt; Maged Raouf</v>
      </c>
      <c r="M45" s="15" t="str">
        <f t="shared" si="3"/>
        <v>Missing: DM</v>
      </c>
    </row>
    <row r="46" spans="2:13" ht="21" customHeight="1" x14ac:dyDescent="0.35">
      <c r="B46" s="17">
        <v>42</v>
      </c>
      <c r="C46" s="16" t="s">
        <v>113</v>
      </c>
      <c r="D46" s="16" t="s">
        <v>114</v>
      </c>
      <c r="E46" s="10" t="s">
        <v>64</v>
      </c>
      <c r="F46" s="11"/>
      <c r="G46" s="12"/>
      <c r="H46" s="12" t="s">
        <v>32</v>
      </c>
      <c r="I46" s="12" t="s">
        <v>53</v>
      </c>
      <c r="J46" s="12"/>
      <c r="K46" s="12" t="s">
        <v>19</v>
      </c>
      <c r="L46" s="13" t="str">
        <f t="shared" si="2"/>
        <v>Vacant Minya -&gt; Wael Atef -&gt; Osama Bert  -&gt; Maged Raouf</v>
      </c>
      <c r="M46" s="14" t="str">
        <f t="shared" si="3"/>
        <v>Missing: DM</v>
      </c>
    </row>
    <row r="47" spans="2:13" ht="21" customHeight="1" x14ac:dyDescent="0.35">
      <c r="B47" s="17">
        <v>43</v>
      </c>
      <c r="C47" s="16" t="s">
        <v>115</v>
      </c>
      <c r="D47" s="16" t="s">
        <v>116</v>
      </c>
      <c r="E47" s="10" t="s">
        <v>117</v>
      </c>
      <c r="F47" s="11" t="s">
        <v>39</v>
      </c>
      <c r="G47" s="12"/>
      <c r="H47" s="12"/>
      <c r="I47" s="12" t="s">
        <v>118</v>
      </c>
      <c r="J47" s="12"/>
      <c r="K47" s="12" t="s">
        <v>19</v>
      </c>
      <c r="L47" s="13" t="str">
        <f t="shared" si="2"/>
        <v>Randa Magdy -&gt; Ashraf Shawky -&gt; Fady Nassif, Osama Bert, Noha samir -&gt; Maged Raouf</v>
      </c>
      <c r="M47" s="15" t="str">
        <f t="shared" si="3"/>
        <v>Missing: AM/OM</v>
      </c>
    </row>
    <row r="48" spans="2:13" ht="21" customHeight="1" x14ac:dyDescent="0.35">
      <c r="B48" s="17">
        <v>44</v>
      </c>
      <c r="C48" s="16" t="s">
        <v>119</v>
      </c>
      <c r="D48" s="16" t="s">
        <v>120</v>
      </c>
      <c r="E48" s="10" t="s">
        <v>121</v>
      </c>
      <c r="F48" s="11" t="s">
        <v>39</v>
      </c>
      <c r="G48" s="12"/>
      <c r="H48" s="12"/>
      <c r="I48" s="12" t="s">
        <v>118</v>
      </c>
      <c r="J48" s="12"/>
      <c r="K48" s="12" t="s">
        <v>19</v>
      </c>
      <c r="L48" s="13" t="str">
        <f t="shared" si="2"/>
        <v>Kirollos Adel -&gt; Ashraf Shawky -&gt; Fady Nassif, Osama Bert, Noha samir -&gt; Maged Raouf</v>
      </c>
      <c r="M48" s="15" t="str">
        <f t="shared" si="3"/>
        <v>Missing: AM/OM</v>
      </c>
    </row>
    <row r="49" spans="2:13" ht="21" customHeight="1" x14ac:dyDescent="0.35">
      <c r="B49" s="8">
        <v>45</v>
      </c>
      <c r="C49" s="16" t="s">
        <v>51</v>
      </c>
      <c r="D49" s="16" t="s">
        <v>122</v>
      </c>
      <c r="E49" s="10" t="s">
        <v>123</v>
      </c>
      <c r="F49" s="11"/>
      <c r="G49" s="12"/>
      <c r="H49" s="12"/>
      <c r="I49" s="12"/>
      <c r="J49" s="12"/>
      <c r="K49" s="12" t="s">
        <v>19</v>
      </c>
      <c r="L49" s="13" t="str">
        <f t="shared" si="2"/>
        <v>Fady Nassif -&gt; Maged Raouf</v>
      </c>
      <c r="M49" s="15" t="str">
        <f t="shared" si="3"/>
        <v>Missing: DM, AM/OM, BUM</v>
      </c>
    </row>
    <row r="50" spans="2:13" ht="21" customHeight="1" x14ac:dyDescent="0.35">
      <c r="B50" s="17">
        <v>46</v>
      </c>
      <c r="C50" s="16" t="s">
        <v>27</v>
      </c>
      <c r="D50" s="16" t="s">
        <v>124</v>
      </c>
      <c r="E50" s="10" t="s">
        <v>123</v>
      </c>
      <c r="F50" s="11"/>
      <c r="G50" s="12"/>
      <c r="H50" s="12"/>
      <c r="I50" s="12"/>
      <c r="J50" s="12"/>
      <c r="K50" s="12" t="s">
        <v>19</v>
      </c>
      <c r="L50" s="13" t="str">
        <f t="shared" si="2"/>
        <v>Osama Bert -&gt; Maged Raouf</v>
      </c>
      <c r="M50" s="15" t="str">
        <f t="shared" si="3"/>
        <v>Missing: DM, AM/OM, BUM</v>
      </c>
    </row>
    <row r="51" spans="2:13" ht="21" customHeight="1" x14ac:dyDescent="0.35">
      <c r="B51" s="17">
        <v>47</v>
      </c>
      <c r="C51" s="16" t="s">
        <v>71</v>
      </c>
      <c r="D51" s="16" t="s">
        <v>125</v>
      </c>
      <c r="E51" s="10" t="s">
        <v>123</v>
      </c>
      <c r="F51" s="11"/>
      <c r="G51" s="12"/>
      <c r="H51" s="12"/>
      <c r="I51" s="12"/>
      <c r="J51" s="12"/>
      <c r="K51" s="12" t="s">
        <v>19</v>
      </c>
      <c r="L51" s="13" t="str">
        <f t="shared" si="2"/>
        <v>Noha samir -&gt; Maged Raouf</v>
      </c>
      <c r="M51" s="15" t="str">
        <f t="shared" si="3"/>
        <v>Missing: DM, AM/OM, BUM</v>
      </c>
    </row>
    <row r="52" spans="2:13" ht="21" customHeight="1" x14ac:dyDescent="0.35">
      <c r="B52" s="17">
        <v>48</v>
      </c>
      <c r="C52" s="16" t="s">
        <v>126</v>
      </c>
      <c r="D52" s="16" t="s">
        <v>127</v>
      </c>
      <c r="E52" s="10" t="s">
        <v>128</v>
      </c>
      <c r="F52" s="18"/>
      <c r="G52" s="12"/>
      <c r="H52" s="12"/>
      <c r="I52" s="12" t="s">
        <v>18</v>
      </c>
      <c r="J52" s="12"/>
      <c r="K52" s="12" t="s">
        <v>19</v>
      </c>
      <c r="L52" s="13" t="str">
        <f t="shared" si="2"/>
        <v>Michael Raafat -&gt; Fady Nassif -&gt; Maged Raouf</v>
      </c>
      <c r="M52" s="13" t="str">
        <f t="shared" si="3"/>
        <v>Missing: DM, AM/OM</v>
      </c>
    </row>
    <row r="53" spans="2:13" ht="21" customHeight="1" x14ac:dyDescent="0.35">
      <c r="B53" s="17">
        <v>49</v>
      </c>
      <c r="C53" s="16" t="s">
        <v>129</v>
      </c>
      <c r="D53" s="16" t="s">
        <v>10</v>
      </c>
      <c r="E53" s="10" t="s">
        <v>130</v>
      </c>
      <c r="F53" s="18"/>
      <c r="G53" s="12"/>
      <c r="H53" s="12"/>
      <c r="I53" s="12" t="s">
        <v>118</v>
      </c>
      <c r="J53" s="12"/>
      <c r="K53" s="12" t="s">
        <v>19</v>
      </c>
      <c r="L53" s="13" t="str">
        <f t="shared" si="2"/>
        <v>Michael Antonyo -&gt; Fady Nassif, Osama Bert, Noha samir -&gt; Maged Raouf</v>
      </c>
      <c r="M53" s="13" t="str">
        <f t="shared" si="3"/>
        <v>Missing: DM, AM/OM</v>
      </c>
    </row>
    <row r="54" spans="2:13" ht="21" customHeight="1" x14ac:dyDescent="0.35">
      <c r="B54" s="17">
        <v>50</v>
      </c>
      <c r="C54" s="16" t="s">
        <v>31</v>
      </c>
      <c r="D54" s="16" t="s">
        <v>9</v>
      </c>
      <c r="E54" s="10" t="s">
        <v>58</v>
      </c>
      <c r="F54" s="18"/>
      <c r="G54" s="12" t="s">
        <v>25</v>
      </c>
      <c r="H54" s="12"/>
      <c r="I54" s="12" t="s">
        <v>118</v>
      </c>
      <c r="J54" s="12"/>
      <c r="K54" s="12" t="s">
        <v>19</v>
      </c>
      <c r="L54" s="13" t="str">
        <f t="shared" si="2"/>
        <v>Rafik Maged -&gt; Michael Antonyo -&gt; Fady Nassif, Osama Bert, Noha samir -&gt; Maged Raouf</v>
      </c>
      <c r="M54" s="13" t="str">
        <f t="shared" si="3"/>
        <v>Missing: DM</v>
      </c>
    </row>
    <row r="55" spans="2:13" ht="21" customHeight="1" x14ac:dyDescent="0.35">
      <c r="B55" s="17">
        <v>51</v>
      </c>
      <c r="C55" s="16" t="s">
        <v>36</v>
      </c>
      <c r="D55" s="16" t="s">
        <v>9</v>
      </c>
      <c r="E55" s="10" t="s">
        <v>131</v>
      </c>
      <c r="F55" s="18"/>
      <c r="G55" s="12" t="s">
        <v>25</v>
      </c>
      <c r="H55" s="12"/>
      <c r="I55" s="12" t="s">
        <v>118</v>
      </c>
      <c r="J55" s="12"/>
      <c r="K55" s="12" t="s">
        <v>19</v>
      </c>
      <c r="L55" s="13" t="str">
        <f t="shared" si="2"/>
        <v>Peter Basily -&gt; Michael Antonyo -&gt; Fady Nassif, Osama Bert, Noha samir -&gt; Maged Raouf</v>
      </c>
      <c r="M55" s="13" t="str">
        <f t="shared" si="3"/>
        <v>Missing: DM</v>
      </c>
    </row>
    <row r="56" spans="2:13" ht="21" customHeight="1" x14ac:dyDescent="0.35">
      <c r="B56" s="17">
        <v>52</v>
      </c>
      <c r="C56" s="16" t="s">
        <v>132</v>
      </c>
      <c r="D56" s="16" t="s">
        <v>11</v>
      </c>
      <c r="E56" s="10" t="s">
        <v>133</v>
      </c>
      <c r="F56" s="18"/>
      <c r="G56" s="12"/>
      <c r="H56" s="12"/>
      <c r="I56" s="12" t="s">
        <v>118</v>
      </c>
      <c r="J56" s="12"/>
      <c r="K56" s="12" t="s">
        <v>19</v>
      </c>
      <c r="L56" s="13" t="str">
        <f t="shared" si="2"/>
        <v>Peter Abdel Nour -&gt; Fady Nassif, Osama Bert, Noha samir -&gt; Maged Raouf</v>
      </c>
      <c r="M56" s="13" t="str">
        <f t="shared" si="3"/>
        <v>Missing: DM, AM/OM</v>
      </c>
    </row>
    <row r="57" spans="2:13" ht="21" customHeight="1" x14ac:dyDescent="0.35">
      <c r="B57" s="17">
        <v>53</v>
      </c>
      <c r="C57" s="16" t="s">
        <v>134</v>
      </c>
      <c r="D57" s="16" t="s">
        <v>11</v>
      </c>
      <c r="E57" s="10" t="s">
        <v>135</v>
      </c>
      <c r="F57" s="18"/>
      <c r="G57" s="12"/>
      <c r="H57" s="12"/>
      <c r="I57" s="12" t="s">
        <v>118</v>
      </c>
      <c r="J57" s="12"/>
      <c r="K57" s="12" t="s">
        <v>19</v>
      </c>
      <c r="L57" s="13" t="str">
        <f t="shared" si="2"/>
        <v>Mina Michel -&gt; Fady Nassif, Osama Bert, Noha samir -&gt; Maged Raouf</v>
      </c>
      <c r="M57" s="13" t="str">
        <f t="shared" si="3"/>
        <v>Missing: DM, AM/OM</v>
      </c>
    </row>
    <row r="58" spans="2:13" ht="21" customHeight="1" x14ac:dyDescent="0.35">
      <c r="B58" s="17">
        <v>54</v>
      </c>
      <c r="C58" s="16" t="s">
        <v>39</v>
      </c>
      <c r="D58" s="16" t="s">
        <v>136</v>
      </c>
      <c r="E58" s="10" t="s">
        <v>137</v>
      </c>
      <c r="F58" s="18"/>
      <c r="G58" s="12"/>
      <c r="H58" s="12"/>
      <c r="I58" s="12" t="s">
        <v>118</v>
      </c>
      <c r="J58" s="12"/>
      <c r="K58" s="12" t="s">
        <v>19</v>
      </c>
      <c r="L58" s="13" t="str">
        <f t="shared" si="2"/>
        <v>Ashraf Shawky -&gt; Fady Nassif, Osama Bert, Noha samir -&gt; Maged Raouf</v>
      </c>
      <c r="M58" s="13" t="str">
        <f t="shared" si="3"/>
        <v>Missing: DM, AM/OM</v>
      </c>
    </row>
    <row r="59" spans="2:13" ht="21" customHeight="1" x14ac:dyDescent="0.35">
      <c r="B59" s="17">
        <v>55</v>
      </c>
      <c r="C59" s="9" t="s">
        <v>138</v>
      </c>
      <c r="D59" s="9" t="s">
        <v>139</v>
      </c>
      <c r="E59" s="10" t="s">
        <v>140</v>
      </c>
      <c r="F59" s="18"/>
      <c r="G59" s="12"/>
      <c r="H59" s="12"/>
      <c r="I59" s="12" t="s">
        <v>118</v>
      </c>
      <c r="J59" s="12"/>
      <c r="K59" s="12" t="s">
        <v>19</v>
      </c>
      <c r="L59" s="13" t="str">
        <f t="shared" si="2"/>
        <v>Wael Atef -&gt; Fady Nassif, Osama Bert, Noha samir -&gt; Maged Raouf</v>
      </c>
      <c r="M59" s="13" t="str">
        <f t="shared" si="3"/>
        <v>Missing: DM, AM/OM</v>
      </c>
    </row>
    <row r="60" spans="2:13" ht="21" customHeight="1" x14ac:dyDescent="0.35">
      <c r="B60" s="17">
        <v>56</v>
      </c>
      <c r="C60" s="9" t="s">
        <v>141</v>
      </c>
      <c r="D60" s="9" t="s">
        <v>142</v>
      </c>
      <c r="E60" s="10" t="s">
        <v>143</v>
      </c>
      <c r="F60" s="18"/>
      <c r="G60" s="12"/>
      <c r="H60" s="12"/>
      <c r="I60" s="12" t="s">
        <v>27</v>
      </c>
      <c r="J60" s="12"/>
      <c r="K60" s="12" t="s">
        <v>19</v>
      </c>
      <c r="L60" s="13" t="str">
        <f t="shared" si="2"/>
        <v>Bassem Hanna -&gt; Osama Bert -&gt; Maged Raouf</v>
      </c>
      <c r="M60" s="13" t="str">
        <f t="shared" si="3"/>
        <v>Missing: DM, AM/OM</v>
      </c>
    </row>
    <row r="61" spans="2:13" ht="21" customHeight="1" x14ac:dyDescent="0.35">
      <c r="B61" s="17">
        <v>57</v>
      </c>
      <c r="C61" s="9" t="s">
        <v>144</v>
      </c>
      <c r="D61" s="9" t="s">
        <v>145</v>
      </c>
      <c r="E61" s="10" t="s">
        <v>146</v>
      </c>
      <c r="F61" s="18"/>
      <c r="G61" s="12"/>
      <c r="H61" s="12"/>
      <c r="I61" s="12" t="s">
        <v>27</v>
      </c>
      <c r="J61" s="12"/>
      <c r="K61" s="12" t="s">
        <v>19</v>
      </c>
      <c r="L61" s="13" t="str">
        <f t="shared" si="2"/>
        <v>Marwa shaaban -&gt; Osama Bert -&gt; Maged Raouf</v>
      </c>
      <c r="M61" s="13" t="str">
        <f t="shared" si="3"/>
        <v>Missing: DM, AM/OM</v>
      </c>
    </row>
    <row r="62" spans="2:13" ht="21" customHeight="1" x14ac:dyDescent="0.35">
      <c r="B62" s="17">
        <v>58</v>
      </c>
      <c r="C62" s="9" t="s">
        <v>147</v>
      </c>
      <c r="D62" s="9" t="s">
        <v>148</v>
      </c>
      <c r="E62" s="10" t="s">
        <v>149</v>
      </c>
      <c r="F62" s="18"/>
      <c r="G62" s="12"/>
      <c r="H62" s="12"/>
      <c r="I62" s="12" t="s">
        <v>33</v>
      </c>
      <c r="J62" s="12"/>
      <c r="K62" s="12" t="s">
        <v>19</v>
      </c>
      <c r="L62" s="13" t="str">
        <f t="shared" si="2"/>
        <v>Ramy Yousef -&gt; Noha samir -&gt; Maged Raouf</v>
      </c>
      <c r="M62" s="13" t="str">
        <f t="shared" si="3"/>
        <v>Missing: DM, AM/OM</v>
      </c>
    </row>
    <row r="63" spans="2:13" ht="21" customHeight="1" x14ac:dyDescent="0.35">
      <c r="B63" s="17">
        <v>59</v>
      </c>
      <c r="C63" s="9" t="s">
        <v>150</v>
      </c>
      <c r="D63" s="9" t="s">
        <v>148</v>
      </c>
      <c r="E63" s="10" t="s">
        <v>143</v>
      </c>
      <c r="F63" s="18"/>
      <c r="G63" s="12"/>
      <c r="H63" s="12"/>
      <c r="I63" s="12" t="s">
        <v>33</v>
      </c>
      <c r="J63" s="12"/>
      <c r="K63" s="12" t="s">
        <v>19</v>
      </c>
      <c r="L63" s="13" t="str">
        <f t="shared" si="2"/>
        <v>Naguib Mahfouz -&gt; Noha samir -&gt; Maged Raouf</v>
      </c>
      <c r="M63" s="13" t="str">
        <f t="shared" si="3"/>
        <v>Missing: DM, AM/OM</v>
      </c>
    </row>
    <row r="64" spans="2:13" ht="21" customHeight="1" x14ac:dyDescent="0.35">
      <c r="B64" s="17">
        <v>60</v>
      </c>
      <c r="C64" s="9" t="s">
        <v>151</v>
      </c>
      <c r="D64" s="9" t="s">
        <v>136</v>
      </c>
      <c r="E64" s="10" t="s">
        <v>152</v>
      </c>
      <c r="F64" s="18"/>
      <c r="G64" s="12"/>
      <c r="H64" s="12" t="s">
        <v>17</v>
      </c>
      <c r="I64" s="12" t="s">
        <v>118</v>
      </c>
      <c r="J64" s="12"/>
      <c r="K64" s="12" t="s">
        <v>19</v>
      </c>
      <c r="L64" s="13" t="str">
        <f t="shared" si="2"/>
        <v>Marian Adel -&gt; Peter Abdel Nour -&gt; Fady Nassif, Osama Bert, Noha samir -&gt; Maged Raouf</v>
      </c>
      <c r="M64" s="13" t="str">
        <f t="shared" si="3"/>
        <v>Missing: DM</v>
      </c>
    </row>
    <row r="65" spans="2:13" ht="21" customHeight="1" x14ac:dyDescent="0.35">
      <c r="B65" s="17">
        <v>61</v>
      </c>
      <c r="C65" s="9" t="s">
        <v>153</v>
      </c>
      <c r="D65" s="9" t="s">
        <v>148</v>
      </c>
      <c r="E65" s="10" t="s">
        <v>135</v>
      </c>
      <c r="F65" s="18"/>
      <c r="G65" s="12"/>
      <c r="H65" s="12"/>
      <c r="I65" s="12" t="s">
        <v>33</v>
      </c>
      <c r="J65" s="12"/>
      <c r="K65" s="12" t="s">
        <v>19</v>
      </c>
      <c r="L65" s="13" t="str">
        <f t="shared" si="2"/>
        <v>Milad Mikhaeel -&gt; Noha samir -&gt; Maged Raouf</v>
      </c>
      <c r="M65" s="13" t="str">
        <f t="shared" si="3"/>
        <v>Missing: DM, AM/OM</v>
      </c>
    </row>
    <row r="66" spans="2:13" ht="21" customHeight="1" x14ac:dyDescent="0.35">
      <c r="B66" s="17">
        <v>62</v>
      </c>
      <c r="C66" s="9" t="s">
        <v>62</v>
      </c>
      <c r="D66" s="9" t="s">
        <v>9</v>
      </c>
      <c r="E66" s="10" t="s">
        <v>154</v>
      </c>
      <c r="F66" s="18"/>
      <c r="G66" s="12" t="s">
        <v>25</v>
      </c>
      <c r="H66" s="12"/>
      <c r="I66" s="12" t="s">
        <v>118</v>
      </c>
      <c r="J66" s="12"/>
      <c r="K66" s="12" t="s">
        <v>19</v>
      </c>
      <c r="L66" s="13" t="str">
        <f t="shared" si="2"/>
        <v>Maher Khamis -&gt; Michael Antonyo -&gt; Fady Nassif, Osama Bert, Noha samir -&gt; Maged Raouf</v>
      </c>
      <c r="M66" s="13" t="str">
        <f t="shared" si="3"/>
        <v>Missing: DM</v>
      </c>
    </row>
    <row r="67" spans="2:13" ht="21" customHeight="1" x14ac:dyDescent="0.35">
      <c r="B67" s="17">
        <v>63</v>
      </c>
      <c r="C67" s="9" t="s">
        <v>155</v>
      </c>
      <c r="D67" s="9" t="s">
        <v>148</v>
      </c>
      <c r="E67" s="10" t="s">
        <v>44</v>
      </c>
      <c r="F67" s="18" t="s">
        <v>48</v>
      </c>
      <c r="G67" s="12"/>
      <c r="H67" s="12"/>
      <c r="I67" s="12" t="s">
        <v>33</v>
      </c>
      <c r="J67" s="12"/>
      <c r="K67" s="12" t="s">
        <v>19</v>
      </c>
      <c r="L67" s="13" t="str">
        <f t="shared" ref="L67:L98" si="4">TRIM(C67)&amp;IF(OR(F67="",F67="None"),"", " -&gt; "&amp;F67)&amp;IF(AND(OR(G67="",G67="None"),OR(H67="",H67="None")),"", " -&gt; "&amp;IF(OR(G67="",G67="None"),H67,G67))&amp;IF(OR(I67="",I67="None"),"", " -&gt; "&amp;I67)&amp;IF(OR(K67="",K67="None"),"", " -&gt; "&amp;K67)</f>
        <v>Beshoy Samy -&gt; Ramy Yousef -&gt; Noha samir -&gt; Maged Raouf</v>
      </c>
      <c r="M67" s="13" t="str">
        <f t="shared" si="3"/>
        <v>Missing: AM/OM</v>
      </c>
    </row>
    <row r="68" spans="2:13" ht="21" customHeight="1" x14ac:dyDescent="0.35">
      <c r="B68" s="17">
        <v>64</v>
      </c>
      <c r="C68" s="9" t="s">
        <v>156</v>
      </c>
      <c r="D68" s="9" t="s">
        <v>70</v>
      </c>
      <c r="E68" s="10" t="s">
        <v>84</v>
      </c>
      <c r="F68" s="18" t="s">
        <v>54</v>
      </c>
      <c r="G68" s="12"/>
      <c r="H68" s="12"/>
      <c r="I68" s="12" t="s">
        <v>71</v>
      </c>
      <c r="J68" s="12"/>
      <c r="K68" s="12" t="s">
        <v>19</v>
      </c>
      <c r="L68" s="13" t="str">
        <f t="shared" si="4"/>
        <v>Neven -&gt; Naguib Mahfouz -&gt; Noha samir  -&gt; Maged Raouf</v>
      </c>
      <c r="M68" s="13" t="str">
        <f t="shared" si="3"/>
        <v>Missing: AM/OM</v>
      </c>
    </row>
    <row r="69" spans="2:13" ht="21" customHeight="1" x14ac:dyDescent="0.35">
      <c r="B69" s="23">
        <v>65</v>
      </c>
      <c r="C69" s="19" t="s">
        <v>113</v>
      </c>
      <c r="D69" s="19" t="s">
        <v>70</v>
      </c>
      <c r="E69" s="19"/>
      <c r="F69" s="19" t="s">
        <v>28</v>
      </c>
      <c r="G69" s="19"/>
      <c r="H69" s="19" t="s">
        <v>32</v>
      </c>
      <c r="I69" s="20" t="s">
        <v>33</v>
      </c>
      <c r="J69" s="20"/>
      <c r="K69" s="19" t="s">
        <v>19</v>
      </c>
      <c r="L69" s="20" t="str">
        <f t="shared" si="4"/>
        <v>Vacant Minya -&gt; Wael Atef -&gt; Noha samir -&gt; Maged Raouf</v>
      </c>
      <c r="M69" s="20" t="str">
        <f t="shared" si="3"/>
        <v>Missing: DM</v>
      </c>
    </row>
    <row r="70" spans="2:13" ht="21" customHeight="1" x14ac:dyDescent="0.35">
      <c r="B70" s="23">
        <v>66</v>
      </c>
      <c r="C70" s="9" t="s">
        <v>29</v>
      </c>
      <c r="D70" s="9" t="s">
        <v>21</v>
      </c>
      <c r="E70" s="10" t="s">
        <v>157</v>
      </c>
      <c r="F70" s="21"/>
      <c r="G70" s="22" t="s">
        <v>16</v>
      </c>
      <c r="H70" s="21"/>
      <c r="I70" s="12" t="s">
        <v>51</v>
      </c>
      <c r="J70" s="12"/>
      <c r="K70" s="22" t="s">
        <v>19</v>
      </c>
      <c r="L70" s="21"/>
      <c r="M70" s="21"/>
    </row>
    <row r="71" spans="2:13" ht="21" customHeight="1" x14ac:dyDescent="0.35">
      <c r="B71" s="23">
        <v>67</v>
      </c>
      <c r="C71" s="9" t="s">
        <v>158</v>
      </c>
      <c r="D71" s="9" t="s">
        <v>21</v>
      </c>
      <c r="E71" s="10" t="s">
        <v>159</v>
      </c>
      <c r="F71" s="21"/>
      <c r="G71" s="22" t="s">
        <v>25</v>
      </c>
      <c r="H71" s="21"/>
      <c r="I71" s="12" t="s">
        <v>51</v>
      </c>
      <c r="J71" s="12"/>
      <c r="K71" s="22" t="s">
        <v>19</v>
      </c>
      <c r="L71" s="21"/>
      <c r="M71" s="21"/>
    </row>
    <row r="72" spans="2:13" ht="21" customHeight="1" x14ac:dyDescent="0.35">
      <c r="B72" s="23">
        <v>68</v>
      </c>
      <c r="C72" s="16" t="s">
        <v>151</v>
      </c>
      <c r="D72" s="9" t="s">
        <v>21</v>
      </c>
      <c r="E72" s="21"/>
      <c r="F72" s="21"/>
      <c r="G72" s="22"/>
      <c r="H72" s="21" t="s">
        <v>17</v>
      </c>
      <c r="I72" s="21" t="s">
        <v>51</v>
      </c>
      <c r="J72" s="21"/>
      <c r="K72" s="22" t="s">
        <v>19</v>
      </c>
      <c r="L72" s="21"/>
      <c r="M72" s="21"/>
    </row>
    <row r="73" spans="2:13" ht="21" customHeight="1" x14ac:dyDescent="0.35">
      <c r="B73" s="23">
        <v>69</v>
      </c>
      <c r="C73" s="9" t="s">
        <v>160</v>
      </c>
      <c r="D73" s="9" t="s">
        <v>21</v>
      </c>
      <c r="E73" s="21"/>
      <c r="F73" s="21"/>
      <c r="G73" s="22"/>
      <c r="H73" s="21"/>
      <c r="I73" s="21" t="s">
        <v>18</v>
      </c>
      <c r="J73" s="21"/>
      <c r="K73" s="22" t="s">
        <v>19</v>
      </c>
      <c r="L73" s="21"/>
      <c r="M73" s="21"/>
    </row>
    <row r="74" spans="2:13" ht="21" customHeight="1" x14ac:dyDescent="0.35">
      <c r="B74" s="23">
        <v>70</v>
      </c>
      <c r="C74" s="9" t="s">
        <v>155</v>
      </c>
      <c r="D74" s="9" t="s">
        <v>70</v>
      </c>
      <c r="E74" s="21"/>
      <c r="F74" s="21" t="s">
        <v>48</v>
      </c>
      <c r="G74" s="22"/>
      <c r="H74" s="21"/>
      <c r="I74" s="21" t="s">
        <v>161</v>
      </c>
      <c r="J74" s="21"/>
      <c r="K74" s="22" t="s">
        <v>19</v>
      </c>
      <c r="L74" s="21"/>
      <c r="M74" s="21"/>
    </row>
    <row r="75" spans="2:13" ht="21" customHeight="1" x14ac:dyDescent="0.35">
      <c r="B75" s="23">
        <v>71</v>
      </c>
      <c r="C75" s="9" t="s">
        <v>162</v>
      </c>
      <c r="D75" s="9" t="s">
        <v>70</v>
      </c>
      <c r="E75" s="21"/>
      <c r="F75" s="21" t="s">
        <v>65</v>
      </c>
      <c r="G75" s="22"/>
      <c r="H75" s="21"/>
      <c r="I75" s="21" t="s">
        <v>161</v>
      </c>
      <c r="J75" s="21"/>
      <c r="K75" s="22" t="s">
        <v>19</v>
      </c>
      <c r="L75" s="21"/>
      <c r="M75" s="21"/>
    </row>
    <row r="76" spans="2:13" ht="21" customHeight="1" x14ac:dyDescent="0.35">
      <c r="B76" s="23">
        <v>72</v>
      </c>
      <c r="C76" s="9" t="s">
        <v>163</v>
      </c>
      <c r="D76" s="9" t="s">
        <v>52</v>
      </c>
      <c r="E76" s="21"/>
      <c r="F76" s="21" t="s">
        <v>62</v>
      </c>
      <c r="G76" s="22" t="s">
        <v>25</v>
      </c>
      <c r="H76" s="21"/>
      <c r="I76" s="21" t="s">
        <v>27</v>
      </c>
      <c r="J76" s="21"/>
      <c r="K76" s="22" t="s">
        <v>19</v>
      </c>
      <c r="L76" s="21"/>
      <c r="M76" s="21"/>
    </row>
    <row r="77" spans="2:13" ht="21" customHeight="1" x14ac:dyDescent="0.35">
      <c r="B77" s="23">
        <v>73</v>
      </c>
      <c r="C77" s="9" t="s">
        <v>60</v>
      </c>
      <c r="D77" s="9" t="s">
        <v>70</v>
      </c>
      <c r="E77" s="21"/>
      <c r="F77" s="21" t="s">
        <v>62</v>
      </c>
      <c r="G77" s="22" t="s">
        <v>25</v>
      </c>
      <c r="H77" s="21"/>
      <c r="I77" s="21" t="s">
        <v>33</v>
      </c>
      <c r="J77" s="21"/>
      <c r="K77" s="22" t="s">
        <v>19</v>
      </c>
      <c r="L77" s="21"/>
      <c r="M77" s="21"/>
    </row>
    <row r="78" spans="2:13" ht="21" customHeight="1" x14ac:dyDescent="0.35">
      <c r="B78" s="23">
        <v>74</v>
      </c>
      <c r="C78" s="9" t="s">
        <v>164</v>
      </c>
      <c r="D78" s="9" t="s">
        <v>70</v>
      </c>
      <c r="E78" s="21"/>
      <c r="F78" s="21" t="s">
        <v>56</v>
      </c>
      <c r="G78" s="22"/>
      <c r="H78" s="21" t="s">
        <v>17</v>
      </c>
      <c r="I78" s="21" t="s">
        <v>33</v>
      </c>
      <c r="J78" s="21"/>
      <c r="K78" s="22" t="s">
        <v>19</v>
      </c>
      <c r="L78" s="21"/>
      <c r="M78" s="21"/>
    </row>
    <row r="79" spans="2:13" ht="21" customHeight="1" x14ac:dyDescent="0.35">
      <c r="B79" s="23">
        <v>75</v>
      </c>
      <c r="C79" s="9" t="s">
        <v>88</v>
      </c>
      <c r="D79" s="24" t="s">
        <v>70</v>
      </c>
      <c r="E79" s="21"/>
      <c r="F79" s="21" t="s">
        <v>48</v>
      </c>
      <c r="G79" s="21"/>
      <c r="H79" s="21"/>
      <c r="I79" s="21" t="s">
        <v>33</v>
      </c>
      <c r="J79" s="21"/>
      <c r="K79" s="21" t="s">
        <v>19</v>
      </c>
      <c r="L79" s="21"/>
      <c r="M79" s="21"/>
    </row>
    <row r="80" spans="2:13" ht="21" customHeight="1" x14ac:dyDescent="0.3">
      <c r="B80" s="26">
        <v>76</v>
      </c>
      <c r="C80" s="27" t="s">
        <v>172</v>
      </c>
      <c r="D80" s="21"/>
      <c r="E80" s="21"/>
      <c r="F80" s="21"/>
      <c r="G80" s="21"/>
      <c r="H80" s="21"/>
      <c r="I80" s="21"/>
      <c r="J80" s="21" t="s">
        <v>171</v>
      </c>
      <c r="K80" s="21" t="s">
        <v>19</v>
      </c>
      <c r="L80" s="21"/>
      <c r="M80" s="21"/>
    </row>
    <row r="81" spans="2:13" ht="21" customHeight="1" x14ac:dyDescent="0.3">
      <c r="B81" s="26">
        <v>77</v>
      </c>
      <c r="C81" s="27" t="s">
        <v>173</v>
      </c>
      <c r="D81" s="21"/>
      <c r="E81" s="21"/>
      <c r="F81" s="21"/>
      <c r="G81" s="21"/>
      <c r="H81" s="21"/>
      <c r="I81" s="21"/>
      <c r="J81" s="21" t="s">
        <v>171</v>
      </c>
      <c r="K81" s="21" t="s">
        <v>19</v>
      </c>
      <c r="L81" s="21"/>
      <c r="M81" s="21"/>
    </row>
    <row r="82" spans="2:13" ht="21" customHeight="1" x14ac:dyDescent="0.3">
      <c r="B82" s="26">
        <v>78</v>
      </c>
      <c r="C82" s="27" t="s">
        <v>174</v>
      </c>
      <c r="D82" s="21"/>
      <c r="E82" s="21"/>
      <c r="F82" s="21"/>
      <c r="G82" s="21"/>
      <c r="H82" s="21"/>
      <c r="I82" s="21"/>
      <c r="J82" s="21" t="s">
        <v>171</v>
      </c>
      <c r="K82" s="21" t="s">
        <v>19</v>
      </c>
      <c r="L82" s="21"/>
      <c r="M82" s="21"/>
    </row>
    <row r="83" spans="2:13" ht="21" customHeight="1" x14ac:dyDescent="0.3">
      <c r="B83" s="26">
        <v>79</v>
      </c>
      <c r="C83" s="27" t="s">
        <v>171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spans="2:13" ht="21" customHeight="1" x14ac:dyDescent="0.25">
      <c r="B84" s="28">
        <v>80</v>
      </c>
      <c r="C84" s="29" t="s">
        <v>19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spans="2:13" ht="21" customHeight="1" x14ac:dyDescent="0.25"/>
    <row r="86" spans="2:13" ht="21" customHeight="1" x14ac:dyDescent="0.25"/>
    <row r="87" spans="2:13" ht="21" customHeight="1" x14ac:dyDescent="0.25"/>
    <row r="88" spans="2:13" ht="21" customHeight="1" x14ac:dyDescent="0.25"/>
    <row r="89" spans="2:13" ht="21" customHeight="1" x14ac:dyDescent="0.25"/>
    <row r="90" spans="2:13" ht="18.75" customHeight="1" x14ac:dyDescent="0.25"/>
  </sheetData>
  <autoFilter ref="B2:M79" xr:uid="{00000000-0009-0000-0000-000000000000}"/>
  <conditionalFormatting sqref="M11:M58">
    <cfRule type="expression" dxfId="5" priority="2">
      <formula>$M11="Complete"</formula>
    </cfRule>
    <cfRule type="expression" dxfId="4" priority="3">
      <formula>$M11&lt;&gt;"Complete"</formula>
    </cfRule>
  </conditionalFormatting>
  <conditionalFormatting sqref="M10">
    <cfRule type="expression" dxfId="3" priority="4">
      <formula>$M10="Complete"</formula>
    </cfRule>
    <cfRule type="expression" dxfId="2" priority="5">
      <formula>$M10&lt;&gt;"Complete"</formula>
    </cfRule>
  </conditionalFormatting>
  <conditionalFormatting sqref="M3:M9">
    <cfRule type="expression" dxfId="1" priority="6">
      <formula>$M3="Complete"</formula>
    </cfRule>
    <cfRule type="expression" dxfId="0" priority="7">
      <formula>$M3&lt;&gt;"Complete"</formula>
    </cfRule>
  </conditionalFormatting>
  <dataValidations count="5">
    <dataValidation type="list" allowBlank="1" showInputMessage="1" promptTitle="BUM" prompt="اختاري من القايمة لاسم واحد، أو اكتبي أكتر من اسم مفصولين بفاصلة عشان تختاري أكتر من واحد سوا، مثال: Fady Nassif, Osama Bert" sqref="I3:J68" xr:uid="{00000000-0002-0000-0000-000000000000}">
      <formula1>"Fady Nassif ,Osama Bert ,Noha samir "</formula1>
      <formula2>0</formula2>
    </dataValidation>
    <dataValidation type="list" allowBlank="1" errorTitle="Invalid entry" error="Please select from the DM list or None" sqref="F3:F89" xr:uid="{00000000-0002-0000-0000-000001000000}">
      <formula1>$X$2:$X$20</formula1>
      <formula2>0</formula2>
    </dataValidation>
    <dataValidation type="list" allowBlank="1" errorTitle="Invalid entry" error="Please select from the AM list or None" sqref="G3:G89" xr:uid="{00000000-0002-0000-0000-000002000000}">
      <formula1>$Y$2:$Y$4</formula1>
      <formula2>0</formula2>
    </dataValidation>
    <dataValidation type="list" allowBlank="1" errorTitle="Invalid entry" error="Please select from the OM list or None" sqref="H3:H89" xr:uid="{00000000-0002-0000-0000-000003000000}">
      <formula1>$Z$2:$Z$6</formula1>
      <formula2>0</formula2>
    </dataValidation>
    <dataValidation type="list" allowBlank="1" errorTitle="Invalid entry" error="Please select from the SD list or None" sqref="K3:K89" xr:uid="{00000000-0002-0000-0000-000004000000}">
      <formula1>$AB$2:$AB$3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</dc:creator>
  <dc:description/>
  <cp:lastModifiedBy>Mario</cp:lastModifiedBy>
  <cp:revision>0</cp:revision>
  <cp:lastPrinted>2026-08-30T10:07:35Z</cp:lastPrinted>
  <dcterms:created xsi:type="dcterms:W3CDTF">2026-08-29T08:40:11Z</dcterms:created>
  <dcterms:modified xsi:type="dcterms:W3CDTF">2026-09-04T18:12:44Z</dcterms:modified>
  <dc:language>en-US</dc:language>
</cp:coreProperties>
</file>